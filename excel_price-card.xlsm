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9200" windowHeight="12090" activeTab="1"/>
  </bookViews>
  <sheets>
    <sheet name="設計" sheetId="1" r:id="rId1"/>
    <sheet name="商品台帳" sheetId="2" r:id="rId2"/>
    <sheet name="印刷シート" sheetId="3" r:id="rId3"/>
    <sheet name="POP" sheetId="4" r:id="rId4"/>
    <sheet name="POP作成" sheetId="9" r:id="rId5"/>
  </sheets>
  <definedNames>
    <definedName name="_xlnm._FilterDatabase" localSheetId="2" hidden="1">印刷シート!$A$3:$O$103</definedName>
    <definedName name="_xlnm._FilterDatabase" localSheetId="1" hidden="1">商品台帳!$A$3:$N$5</definedName>
  </definedNames>
  <calcPr calcId="125725"/>
</workbook>
</file>

<file path=xl/calcChain.xml><?xml version="1.0" encoding="utf-8"?>
<calcChain xmlns="http://schemas.openxmlformats.org/spreadsheetml/2006/main">
  <c r="S597" i="4"/>
  <c r="AF599"/>
  <c r="S596"/>
  <c r="S595"/>
  <c r="B597"/>
  <c r="O599"/>
  <c r="B596"/>
  <c r="B595"/>
  <c r="S585"/>
  <c r="AF587"/>
  <c r="S584"/>
  <c r="S583"/>
  <c r="B585"/>
  <c r="O587"/>
  <c r="B584"/>
  <c r="B583"/>
  <c r="S573"/>
  <c r="AF575"/>
  <c r="S572"/>
  <c r="S571"/>
  <c r="B573"/>
  <c r="O575"/>
  <c r="B572"/>
  <c r="B571"/>
  <c r="S561"/>
  <c r="AF563"/>
  <c r="S560"/>
  <c r="S559"/>
  <c r="B561"/>
  <c r="O563"/>
  <c r="B560"/>
  <c r="B559"/>
  <c r="S549"/>
  <c r="AF551"/>
  <c r="S548"/>
  <c r="S547"/>
  <c r="B549"/>
  <c r="O551"/>
  <c r="B548"/>
  <c r="B547"/>
  <c r="S537"/>
  <c r="AF539"/>
  <c r="S536"/>
  <c r="S535"/>
  <c r="B537"/>
  <c r="O539"/>
  <c r="B536"/>
  <c r="B535"/>
  <c r="S525"/>
  <c r="AF527"/>
  <c r="S524"/>
  <c r="S523"/>
  <c r="B525"/>
  <c r="O527"/>
  <c r="B524"/>
  <c r="B523"/>
  <c r="S513"/>
  <c r="AF515"/>
  <c r="S512"/>
  <c r="S511"/>
  <c r="B513"/>
  <c r="O515"/>
  <c r="B512"/>
  <c r="B511"/>
  <c r="S501"/>
  <c r="AF503"/>
  <c r="S500"/>
  <c r="S499"/>
  <c r="B501"/>
  <c r="O503"/>
  <c r="B500"/>
  <c r="B499"/>
  <c r="S489"/>
  <c r="AF491"/>
  <c r="S488"/>
  <c r="S487"/>
  <c r="B489"/>
  <c r="O491"/>
  <c r="B488"/>
  <c r="B487"/>
  <c r="S477"/>
  <c r="AF479"/>
  <c r="S476"/>
  <c r="S475"/>
  <c r="B477"/>
  <c r="O479"/>
  <c r="B476"/>
  <c r="B475"/>
  <c r="S465"/>
  <c r="AF467"/>
  <c r="S464"/>
  <c r="S463"/>
  <c r="B465"/>
  <c r="O467"/>
  <c r="B464"/>
  <c r="B463"/>
  <c r="S453"/>
  <c r="AF455"/>
  <c r="S452"/>
  <c r="S451"/>
  <c r="B453"/>
  <c r="O455"/>
  <c r="B452"/>
  <c r="B451"/>
  <c r="S441"/>
  <c r="AF443"/>
  <c r="S440"/>
  <c r="S439"/>
  <c r="B441"/>
  <c r="O443"/>
  <c r="B440"/>
  <c r="B439"/>
  <c r="S429"/>
  <c r="AF431"/>
  <c r="S428"/>
  <c r="S427"/>
  <c r="B429"/>
  <c r="O431"/>
  <c r="B428"/>
  <c r="B427"/>
  <c r="S417"/>
  <c r="AF419"/>
  <c r="S416"/>
  <c r="S415"/>
  <c r="B417"/>
  <c r="O419"/>
  <c r="B416"/>
  <c r="B415"/>
  <c r="S405"/>
  <c r="AF407"/>
  <c r="S404"/>
  <c r="S403"/>
  <c r="B405"/>
  <c r="O407"/>
  <c r="B404"/>
  <c r="B403"/>
  <c r="S393"/>
  <c r="AF395"/>
  <c r="S392"/>
  <c r="S391"/>
  <c r="B393"/>
  <c r="O395"/>
  <c r="B392"/>
  <c r="B391"/>
  <c r="S381"/>
  <c r="AF383"/>
  <c r="S380"/>
  <c r="S379"/>
  <c r="B381"/>
  <c r="O383"/>
  <c r="B380"/>
  <c r="B379"/>
  <c r="S369"/>
  <c r="AF371"/>
  <c r="S368"/>
  <c r="S367"/>
  <c r="B369"/>
  <c r="O371"/>
  <c r="B368"/>
  <c r="B367"/>
  <c r="S357"/>
  <c r="AF359"/>
  <c r="S356"/>
  <c r="S355"/>
  <c r="B357"/>
  <c r="O359"/>
  <c r="B356"/>
  <c r="B355"/>
  <c r="S345"/>
  <c r="AF347"/>
  <c r="S344"/>
  <c r="S343"/>
  <c r="B345"/>
  <c r="O347"/>
  <c r="B344"/>
  <c r="B343"/>
  <c r="S333"/>
  <c r="AF335"/>
  <c r="S332"/>
  <c r="S331"/>
  <c r="B333"/>
  <c r="O335"/>
  <c r="B332"/>
  <c r="B331"/>
  <c r="S321"/>
  <c r="AF323"/>
  <c r="S320"/>
  <c r="S319"/>
  <c r="B321"/>
  <c r="O323"/>
  <c r="B320"/>
  <c r="B319"/>
  <c r="S309"/>
  <c r="AF311"/>
  <c r="S308"/>
  <c r="S307"/>
  <c r="B309"/>
  <c r="O311"/>
  <c r="B308"/>
  <c r="B307"/>
  <c r="S297"/>
  <c r="AF299"/>
  <c r="S296"/>
  <c r="S295"/>
  <c r="B297"/>
  <c r="O299"/>
  <c r="B296"/>
  <c r="B295"/>
  <c r="S285"/>
  <c r="AF287"/>
  <c r="S284"/>
  <c r="S283"/>
  <c r="B285"/>
  <c r="O287"/>
  <c r="B284"/>
  <c r="B283"/>
  <c r="S273"/>
  <c r="AF275"/>
  <c r="S272"/>
  <c r="S271"/>
  <c r="B273"/>
  <c r="O275"/>
  <c r="B272"/>
  <c r="B271"/>
  <c r="S261"/>
  <c r="AF263"/>
  <c r="S260"/>
  <c r="S259"/>
  <c r="B261"/>
  <c r="O263"/>
  <c r="B260"/>
  <c r="B259"/>
  <c r="S249"/>
  <c r="AF251"/>
  <c r="S248"/>
  <c r="S247"/>
  <c r="B249"/>
  <c r="O251"/>
  <c r="B248"/>
  <c r="B247"/>
  <c r="S237"/>
  <c r="AF239"/>
  <c r="S236"/>
  <c r="S235"/>
  <c r="B237"/>
  <c r="O239"/>
  <c r="B236"/>
  <c r="B235"/>
  <c r="S225"/>
  <c r="AF227"/>
  <c r="S224"/>
  <c r="S223"/>
  <c r="B225"/>
  <c r="O227"/>
  <c r="B224"/>
  <c r="B223"/>
  <c r="S213"/>
  <c r="AF215"/>
  <c r="S212"/>
  <c r="S211"/>
  <c r="B213"/>
  <c r="O215"/>
  <c r="B212"/>
  <c r="B211"/>
  <c r="S201"/>
  <c r="AF203"/>
  <c r="S200"/>
  <c r="S199"/>
  <c r="B201"/>
  <c r="O203"/>
  <c r="B200"/>
  <c r="B199"/>
  <c r="S189"/>
  <c r="AF191"/>
  <c r="S188"/>
  <c r="S187"/>
  <c r="B189"/>
  <c r="O191"/>
  <c r="B188"/>
  <c r="B187"/>
  <c r="S177"/>
  <c r="AF179"/>
  <c r="S176"/>
  <c r="S175"/>
  <c r="B177"/>
  <c r="O179"/>
  <c r="B176"/>
  <c r="B175"/>
  <c r="S165"/>
  <c r="AF167"/>
  <c r="S164"/>
  <c r="S163"/>
  <c r="B165"/>
  <c r="O167"/>
  <c r="B164"/>
  <c r="B163"/>
  <c r="S153"/>
  <c r="AF155"/>
  <c r="S152"/>
  <c r="S151"/>
  <c r="B153"/>
  <c r="O155"/>
  <c r="B152"/>
  <c r="B151"/>
  <c r="S141"/>
  <c r="AF143"/>
  <c r="S140"/>
  <c r="S139"/>
  <c r="B141"/>
  <c r="O143"/>
  <c r="B140"/>
  <c r="B139"/>
  <c r="S129"/>
  <c r="AF131"/>
  <c r="S128"/>
  <c r="S127"/>
  <c r="B129"/>
  <c r="O131"/>
  <c r="B128"/>
  <c r="B127"/>
  <c r="S117"/>
  <c r="AF119"/>
  <c r="S116"/>
  <c r="S115"/>
  <c r="B117"/>
  <c r="O119"/>
  <c r="B116"/>
  <c r="B115"/>
  <c r="S105"/>
  <c r="AF107"/>
  <c r="S104"/>
  <c r="S103"/>
  <c r="B105"/>
  <c r="O107"/>
  <c r="B104"/>
  <c r="B103"/>
  <c r="S93"/>
  <c r="AF95"/>
  <c r="S92"/>
  <c r="S91"/>
  <c r="B93"/>
  <c r="O95"/>
  <c r="B92"/>
  <c r="B91"/>
  <c r="S81"/>
  <c r="AF83"/>
  <c r="S80"/>
  <c r="S79"/>
  <c r="B81"/>
  <c r="O83"/>
  <c r="B80"/>
  <c r="B79"/>
  <c r="S69"/>
  <c r="AF71"/>
  <c r="S68"/>
  <c r="S67"/>
  <c r="B69"/>
  <c r="O71"/>
  <c r="B68"/>
  <c r="B67"/>
  <c r="S57"/>
  <c r="AF59"/>
  <c r="S56"/>
  <c r="S55"/>
  <c r="B57"/>
  <c r="O59"/>
  <c r="B56"/>
  <c r="B55"/>
  <c r="S45"/>
  <c r="AF47"/>
  <c r="S44"/>
  <c r="S43"/>
  <c r="B45"/>
  <c r="O47"/>
  <c r="B44"/>
  <c r="B43"/>
  <c r="S33"/>
  <c r="AF35"/>
  <c r="S32"/>
  <c r="S31"/>
  <c r="B33"/>
  <c r="O35"/>
  <c r="B32"/>
  <c r="B31"/>
  <c r="S21"/>
  <c r="AF23"/>
  <c r="S20"/>
  <c r="S19"/>
  <c r="B21"/>
  <c r="O23"/>
  <c r="B20"/>
  <c r="B19"/>
  <c r="S9"/>
  <c r="AF11"/>
  <c r="S8"/>
  <c r="S7"/>
  <c r="O11"/>
  <c r="B8"/>
  <c r="B7"/>
  <c r="O103" i="3"/>
  <c r="S590" i="4" s="1"/>
  <c r="N103" i="3"/>
  <c r="M103"/>
  <c r="L103"/>
  <c r="K103"/>
  <c r="AC597" i="4" s="1"/>
  <c r="J103" i="3"/>
  <c r="I103"/>
  <c r="Y596" i="4" s="1"/>
  <c r="H103" i="3"/>
  <c r="G103"/>
  <c r="Y595" i="4" s="1"/>
  <c r="F103" i="3"/>
  <c r="E103"/>
  <c r="D103"/>
  <c r="S593" i="4" s="1"/>
  <c r="C103" i="3"/>
  <c r="S594" i="4" s="1"/>
  <c r="O102" i="3"/>
  <c r="B590" i="4" s="1"/>
  <c r="N102" i="3"/>
  <c r="M102"/>
  <c r="L102"/>
  <c r="K102"/>
  <c r="L597" i="4" s="1"/>
  <c r="J102" i="3"/>
  <c r="I102"/>
  <c r="H596" i="4" s="1"/>
  <c r="H102" i="3"/>
  <c r="G102"/>
  <c r="H595" i="4" s="1"/>
  <c r="F102" i="3"/>
  <c r="E102"/>
  <c r="D102"/>
  <c r="B593" i="4" s="1"/>
  <c r="C102" i="3"/>
  <c r="B594" i="4" s="1"/>
  <c r="O101" i="3"/>
  <c r="S578" i="4" s="1"/>
  <c r="N101" i="3"/>
  <c r="M101"/>
  <c r="L101"/>
  <c r="K101"/>
  <c r="AC585" i="4" s="1"/>
  <c r="J101" i="3"/>
  <c r="I101"/>
  <c r="Y584" i="4" s="1"/>
  <c r="H101" i="3"/>
  <c r="G101"/>
  <c r="Y583" i="4" s="1"/>
  <c r="F101" i="3"/>
  <c r="E101"/>
  <c r="D101"/>
  <c r="S581" i="4" s="1"/>
  <c r="C101" i="3"/>
  <c r="S582" i="4" s="1"/>
  <c r="O100" i="3"/>
  <c r="B578" i="4" s="1"/>
  <c r="N100" i="3"/>
  <c r="M100"/>
  <c r="L100"/>
  <c r="K100"/>
  <c r="L585" i="4" s="1"/>
  <c r="J100" i="3"/>
  <c r="I100"/>
  <c r="H584" i="4" s="1"/>
  <c r="H100" i="3"/>
  <c r="G100"/>
  <c r="H583" i="4" s="1"/>
  <c r="F100" i="3"/>
  <c r="E100"/>
  <c r="D100"/>
  <c r="B581" i="4" s="1"/>
  <c r="C100" i="3"/>
  <c r="B582" i="4" s="1"/>
  <c r="O99" i="3"/>
  <c r="S566" i="4" s="1"/>
  <c r="N99" i="3"/>
  <c r="M99"/>
  <c r="L99"/>
  <c r="K99"/>
  <c r="AC573" i="4" s="1"/>
  <c r="J99" i="3"/>
  <c r="I99"/>
  <c r="Y572" i="4" s="1"/>
  <c r="H99" i="3"/>
  <c r="G99"/>
  <c r="Y571" i="4" s="1"/>
  <c r="F99" i="3"/>
  <c r="E99"/>
  <c r="D99"/>
  <c r="S569" i="4" s="1"/>
  <c r="C99" i="3"/>
  <c r="S570" i="4" s="1"/>
  <c r="O98" i="3"/>
  <c r="B566" i="4" s="1"/>
  <c r="N98" i="3"/>
  <c r="M98"/>
  <c r="L98"/>
  <c r="K98"/>
  <c r="L573" i="4" s="1"/>
  <c r="J98" i="3"/>
  <c r="I98"/>
  <c r="H572" i="4" s="1"/>
  <c r="H98" i="3"/>
  <c r="G98"/>
  <c r="H571" i="4" s="1"/>
  <c r="F98" i="3"/>
  <c r="E98"/>
  <c r="D98"/>
  <c r="B569" i="4" s="1"/>
  <c r="C98" i="3"/>
  <c r="B570" i="4" s="1"/>
  <c r="O97" i="3"/>
  <c r="S554" i="4" s="1"/>
  <c r="N97" i="3"/>
  <c r="M97"/>
  <c r="L97"/>
  <c r="K97"/>
  <c r="AC561" i="4" s="1"/>
  <c r="J97" i="3"/>
  <c r="I97"/>
  <c r="Y560" i="4" s="1"/>
  <c r="H97" i="3"/>
  <c r="G97"/>
  <c r="Y559" i="4" s="1"/>
  <c r="F97" i="3"/>
  <c r="E97"/>
  <c r="D97"/>
  <c r="S557" i="4" s="1"/>
  <c r="C97" i="3"/>
  <c r="S558" i="4" s="1"/>
  <c r="O96" i="3"/>
  <c r="B554" i="4" s="1"/>
  <c r="N96" i="3"/>
  <c r="M96"/>
  <c r="L96"/>
  <c r="K96"/>
  <c r="L561" i="4" s="1"/>
  <c r="J96" i="3"/>
  <c r="I96"/>
  <c r="H560" i="4" s="1"/>
  <c r="H96" i="3"/>
  <c r="G96"/>
  <c r="H559" i="4" s="1"/>
  <c r="F96" i="3"/>
  <c r="E96"/>
  <c r="D96"/>
  <c r="B557" i="4" s="1"/>
  <c r="C96" i="3"/>
  <c r="B558" i="4" s="1"/>
  <c r="O95" i="3"/>
  <c r="S542" i="4" s="1"/>
  <c r="N95" i="3"/>
  <c r="M95"/>
  <c r="L95"/>
  <c r="K95"/>
  <c r="AC549" i="4" s="1"/>
  <c r="J95" i="3"/>
  <c r="I95"/>
  <c r="Y548" i="4" s="1"/>
  <c r="H95" i="3"/>
  <c r="G95"/>
  <c r="Y547" i="4" s="1"/>
  <c r="F95" i="3"/>
  <c r="E95"/>
  <c r="D95"/>
  <c r="S545" i="4" s="1"/>
  <c r="C95" i="3"/>
  <c r="S546" i="4" s="1"/>
  <c r="O94" i="3"/>
  <c r="B542" i="4" s="1"/>
  <c r="N94" i="3"/>
  <c r="M94"/>
  <c r="L94"/>
  <c r="K94"/>
  <c r="L549" i="4" s="1"/>
  <c r="J94" i="3"/>
  <c r="I94"/>
  <c r="H548" i="4" s="1"/>
  <c r="H94" i="3"/>
  <c r="G94"/>
  <c r="H547" i="4" s="1"/>
  <c r="F94" i="3"/>
  <c r="E94"/>
  <c r="D94"/>
  <c r="B545" i="4" s="1"/>
  <c r="C94" i="3"/>
  <c r="B546" i="4" s="1"/>
  <c r="O93" i="3"/>
  <c r="S530" i="4" s="1"/>
  <c r="N93" i="3"/>
  <c r="M93"/>
  <c r="L93"/>
  <c r="K93"/>
  <c r="AC537" i="4" s="1"/>
  <c r="J93" i="3"/>
  <c r="I93"/>
  <c r="Y536" i="4" s="1"/>
  <c r="H93" i="3"/>
  <c r="G93"/>
  <c r="Y535" i="4" s="1"/>
  <c r="F93" i="3"/>
  <c r="E93"/>
  <c r="D93"/>
  <c r="S533" i="4" s="1"/>
  <c r="C93" i="3"/>
  <c r="S534" i="4" s="1"/>
  <c r="O92" i="3"/>
  <c r="B530" i="4" s="1"/>
  <c r="N92" i="3"/>
  <c r="M92"/>
  <c r="L92"/>
  <c r="K92"/>
  <c r="L537" i="4" s="1"/>
  <c r="J92" i="3"/>
  <c r="I92"/>
  <c r="H536" i="4" s="1"/>
  <c r="H92" i="3"/>
  <c r="G92"/>
  <c r="H535" i="4" s="1"/>
  <c r="F92" i="3"/>
  <c r="E92"/>
  <c r="D92"/>
  <c r="B533" i="4" s="1"/>
  <c r="C92" i="3"/>
  <c r="B534" i="4" s="1"/>
  <c r="O91" i="3"/>
  <c r="S518" i="4" s="1"/>
  <c r="N91" i="3"/>
  <c r="M91"/>
  <c r="L91"/>
  <c r="K91"/>
  <c r="AC525" i="4" s="1"/>
  <c r="J91" i="3"/>
  <c r="I91"/>
  <c r="Y524" i="4" s="1"/>
  <c r="H91" i="3"/>
  <c r="G91"/>
  <c r="Y523" i="4" s="1"/>
  <c r="F91" i="3"/>
  <c r="E91"/>
  <c r="D91"/>
  <c r="S521" i="4" s="1"/>
  <c r="C91" i="3"/>
  <c r="S522" i="4" s="1"/>
  <c r="O90" i="3"/>
  <c r="B518" i="4" s="1"/>
  <c r="N90" i="3"/>
  <c r="M90"/>
  <c r="L90"/>
  <c r="K90"/>
  <c r="L525" i="4" s="1"/>
  <c r="J90" i="3"/>
  <c r="I90"/>
  <c r="H524" i="4" s="1"/>
  <c r="H90" i="3"/>
  <c r="G90"/>
  <c r="H523" i="4" s="1"/>
  <c r="F90" i="3"/>
  <c r="E90"/>
  <c r="D90"/>
  <c r="B521" i="4" s="1"/>
  <c r="C90" i="3"/>
  <c r="B522" i="4" s="1"/>
  <c r="O89" i="3"/>
  <c r="S506" i="4" s="1"/>
  <c r="N89" i="3"/>
  <c r="M89"/>
  <c r="L89"/>
  <c r="K89"/>
  <c r="AC513" i="4" s="1"/>
  <c r="J89" i="3"/>
  <c r="I89"/>
  <c r="Y512" i="4" s="1"/>
  <c r="H89" i="3"/>
  <c r="G89"/>
  <c r="Y511" i="4" s="1"/>
  <c r="F89" i="3"/>
  <c r="E89"/>
  <c r="D89"/>
  <c r="S509" i="4" s="1"/>
  <c r="C89" i="3"/>
  <c r="S510" i="4" s="1"/>
  <c r="O88" i="3"/>
  <c r="B506" i="4" s="1"/>
  <c r="N88" i="3"/>
  <c r="M88"/>
  <c r="L88"/>
  <c r="K88"/>
  <c r="L513" i="4" s="1"/>
  <c r="J88" i="3"/>
  <c r="I88"/>
  <c r="H512" i="4" s="1"/>
  <c r="H88" i="3"/>
  <c r="G88"/>
  <c r="H511" i="4" s="1"/>
  <c r="F88" i="3"/>
  <c r="E88"/>
  <c r="D88"/>
  <c r="B509" i="4" s="1"/>
  <c r="C88" i="3"/>
  <c r="B510" i="4" s="1"/>
  <c r="O87" i="3"/>
  <c r="S494" i="4" s="1"/>
  <c r="N87" i="3"/>
  <c r="M87"/>
  <c r="L87"/>
  <c r="K87"/>
  <c r="AC501" i="4" s="1"/>
  <c r="J87" i="3"/>
  <c r="I87"/>
  <c r="Y500" i="4" s="1"/>
  <c r="H87" i="3"/>
  <c r="G87"/>
  <c r="Y499" i="4" s="1"/>
  <c r="F87" i="3"/>
  <c r="E87"/>
  <c r="D87"/>
  <c r="S497" i="4" s="1"/>
  <c r="C87" i="3"/>
  <c r="S498" i="4" s="1"/>
  <c r="O86" i="3"/>
  <c r="B494" i="4" s="1"/>
  <c r="N86" i="3"/>
  <c r="M86"/>
  <c r="L86"/>
  <c r="K86"/>
  <c r="L501" i="4" s="1"/>
  <c r="J86" i="3"/>
  <c r="I86"/>
  <c r="H500" i="4" s="1"/>
  <c r="H86" i="3"/>
  <c r="G86"/>
  <c r="H499" i="4" s="1"/>
  <c r="F86" i="3"/>
  <c r="E86"/>
  <c r="D86"/>
  <c r="B497" i="4" s="1"/>
  <c r="C86" i="3"/>
  <c r="B498" i="4" s="1"/>
  <c r="O85" i="3"/>
  <c r="S482" i="4" s="1"/>
  <c r="N85" i="3"/>
  <c r="M85"/>
  <c r="L85"/>
  <c r="K85"/>
  <c r="AC489" i="4" s="1"/>
  <c r="J85" i="3"/>
  <c r="I85"/>
  <c r="Y488" i="4" s="1"/>
  <c r="H85" i="3"/>
  <c r="G85"/>
  <c r="Y487" i="4" s="1"/>
  <c r="F85" i="3"/>
  <c r="E85"/>
  <c r="D85"/>
  <c r="S485" i="4" s="1"/>
  <c r="C85" i="3"/>
  <c r="S486" i="4" s="1"/>
  <c r="O84" i="3"/>
  <c r="B482" i="4" s="1"/>
  <c r="N84" i="3"/>
  <c r="M84"/>
  <c r="L84"/>
  <c r="K84"/>
  <c r="L489" i="4" s="1"/>
  <c r="J84" i="3"/>
  <c r="I84"/>
  <c r="H488" i="4" s="1"/>
  <c r="H84" i="3"/>
  <c r="G84"/>
  <c r="H487" i="4" s="1"/>
  <c r="F84" i="3"/>
  <c r="E84"/>
  <c r="D84"/>
  <c r="B485" i="4" s="1"/>
  <c r="C84" i="3"/>
  <c r="B486" i="4" s="1"/>
  <c r="O83" i="3"/>
  <c r="S470" i="4" s="1"/>
  <c r="N83" i="3"/>
  <c r="M83"/>
  <c r="L83"/>
  <c r="K83"/>
  <c r="AC477" i="4" s="1"/>
  <c r="J83" i="3"/>
  <c r="I83"/>
  <c r="Y476" i="4" s="1"/>
  <c r="H83" i="3"/>
  <c r="G83"/>
  <c r="Y475" i="4" s="1"/>
  <c r="F83" i="3"/>
  <c r="E83"/>
  <c r="D83"/>
  <c r="S473" i="4" s="1"/>
  <c r="C83" i="3"/>
  <c r="S474" i="4" s="1"/>
  <c r="O82" i="3"/>
  <c r="B470" i="4" s="1"/>
  <c r="N82" i="3"/>
  <c r="M82"/>
  <c r="L82"/>
  <c r="K82"/>
  <c r="L477" i="4" s="1"/>
  <c r="J82" i="3"/>
  <c r="I82"/>
  <c r="H476" i="4" s="1"/>
  <c r="H82" i="3"/>
  <c r="G82"/>
  <c r="H475" i="4" s="1"/>
  <c r="F82" i="3"/>
  <c r="E82"/>
  <c r="D82"/>
  <c r="B473" i="4" s="1"/>
  <c r="C82" i="3"/>
  <c r="B474" i="4" s="1"/>
  <c r="O81" i="3"/>
  <c r="S458" i="4" s="1"/>
  <c r="N81" i="3"/>
  <c r="M81"/>
  <c r="L81"/>
  <c r="K81"/>
  <c r="AC465" i="4" s="1"/>
  <c r="J81" i="3"/>
  <c r="I81"/>
  <c r="Y464" i="4" s="1"/>
  <c r="H81" i="3"/>
  <c r="G81"/>
  <c r="Y463" i="4" s="1"/>
  <c r="F81" i="3"/>
  <c r="E81"/>
  <c r="D81"/>
  <c r="S461" i="4" s="1"/>
  <c r="C81" i="3"/>
  <c r="S462" i="4" s="1"/>
  <c r="O80" i="3"/>
  <c r="B458" i="4" s="1"/>
  <c r="N80" i="3"/>
  <c r="M80"/>
  <c r="L80"/>
  <c r="K80"/>
  <c r="L465" i="4" s="1"/>
  <c r="J80" i="3"/>
  <c r="I80"/>
  <c r="H464" i="4" s="1"/>
  <c r="H80" i="3"/>
  <c r="G80"/>
  <c r="H463" i="4" s="1"/>
  <c r="F80" i="3"/>
  <c r="E80"/>
  <c r="D80"/>
  <c r="B461" i="4" s="1"/>
  <c r="C80" i="3"/>
  <c r="B462" i="4" s="1"/>
  <c r="O79" i="3"/>
  <c r="S446" i="4" s="1"/>
  <c r="N79" i="3"/>
  <c r="M79"/>
  <c r="L79"/>
  <c r="K79"/>
  <c r="AC453" i="4" s="1"/>
  <c r="J79" i="3"/>
  <c r="I79"/>
  <c r="Y452" i="4" s="1"/>
  <c r="H79" i="3"/>
  <c r="G79"/>
  <c r="Y451" i="4" s="1"/>
  <c r="F79" i="3"/>
  <c r="E79"/>
  <c r="D79"/>
  <c r="S449" i="4" s="1"/>
  <c r="C79" i="3"/>
  <c r="S450" i="4" s="1"/>
  <c r="O78" i="3"/>
  <c r="B446" i="4" s="1"/>
  <c r="N78" i="3"/>
  <c r="M78"/>
  <c r="L78"/>
  <c r="K78"/>
  <c r="L453" i="4" s="1"/>
  <c r="J78" i="3"/>
  <c r="I78"/>
  <c r="H452" i="4" s="1"/>
  <c r="H78" i="3"/>
  <c r="G78"/>
  <c r="H451" i="4" s="1"/>
  <c r="F78" i="3"/>
  <c r="E78"/>
  <c r="D78"/>
  <c r="B449" i="4" s="1"/>
  <c r="C78" i="3"/>
  <c r="B450" i="4" s="1"/>
  <c r="O77" i="3"/>
  <c r="S434" i="4" s="1"/>
  <c r="N77" i="3"/>
  <c r="M77"/>
  <c r="L77"/>
  <c r="K77"/>
  <c r="AC441" i="4" s="1"/>
  <c r="J77" i="3"/>
  <c r="I77"/>
  <c r="Y440" i="4" s="1"/>
  <c r="H77" i="3"/>
  <c r="G77"/>
  <c r="Y439" i="4" s="1"/>
  <c r="F77" i="3"/>
  <c r="E77"/>
  <c r="D77"/>
  <c r="S437" i="4" s="1"/>
  <c r="C77" i="3"/>
  <c r="S438" i="4" s="1"/>
  <c r="O76" i="3"/>
  <c r="B434" i="4" s="1"/>
  <c r="N76" i="3"/>
  <c r="M76"/>
  <c r="L76"/>
  <c r="K76"/>
  <c r="L441" i="4" s="1"/>
  <c r="J76" i="3"/>
  <c r="I76"/>
  <c r="H440" i="4" s="1"/>
  <c r="H76" i="3"/>
  <c r="G76"/>
  <c r="H439" i="4" s="1"/>
  <c r="F76" i="3"/>
  <c r="E76"/>
  <c r="D76"/>
  <c r="B437" i="4" s="1"/>
  <c r="C76" i="3"/>
  <c r="B438" i="4" s="1"/>
  <c r="O75" i="3"/>
  <c r="S422" i="4" s="1"/>
  <c r="N75" i="3"/>
  <c r="M75"/>
  <c r="L75"/>
  <c r="K75"/>
  <c r="AC429" i="4" s="1"/>
  <c r="J75" i="3"/>
  <c r="I75"/>
  <c r="Y428" i="4" s="1"/>
  <c r="H75" i="3"/>
  <c r="G75"/>
  <c r="Y427" i="4" s="1"/>
  <c r="F75" i="3"/>
  <c r="E75"/>
  <c r="D75"/>
  <c r="S425" i="4" s="1"/>
  <c r="C75" i="3"/>
  <c r="S426" i="4" s="1"/>
  <c r="O74" i="3"/>
  <c r="B422" i="4" s="1"/>
  <c r="N74" i="3"/>
  <c r="M74"/>
  <c r="L74"/>
  <c r="K74"/>
  <c r="L429" i="4" s="1"/>
  <c r="J74" i="3"/>
  <c r="I74"/>
  <c r="H428" i="4" s="1"/>
  <c r="H74" i="3"/>
  <c r="G74"/>
  <c r="H427" i="4" s="1"/>
  <c r="F74" i="3"/>
  <c r="E74"/>
  <c r="D74"/>
  <c r="B425" i="4" s="1"/>
  <c r="C74" i="3"/>
  <c r="B426" i="4" s="1"/>
  <c r="O73" i="3"/>
  <c r="S410" i="4" s="1"/>
  <c r="N73" i="3"/>
  <c r="M73"/>
  <c r="L73"/>
  <c r="K73"/>
  <c r="AC417" i="4" s="1"/>
  <c r="J73" i="3"/>
  <c r="I73"/>
  <c r="Y416" i="4" s="1"/>
  <c r="H73" i="3"/>
  <c r="G73"/>
  <c r="Y415" i="4" s="1"/>
  <c r="F73" i="3"/>
  <c r="E73"/>
  <c r="D73"/>
  <c r="S413" i="4" s="1"/>
  <c r="C73" i="3"/>
  <c r="S414" i="4" s="1"/>
  <c r="O72" i="3"/>
  <c r="B410" i="4" s="1"/>
  <c r="N72" i="3"/>
  <c r="M72"/>
  <c r="L72"/>
  <c r="K72"/>
  <c r="L417" i="4" s="1"/>
  <c r="J72" i="3"/>
  <c r="I72"/>
  <c r="H416" i="4" s="1"/>
  <c r="H72" i="3"/>
  <c r="G72"/>
  <c r="H415" i="4" s="1"/>
  <c r="F72" i="3"/>
  <c r="E72"/>
  <c r="D72"/>
  <c r="B413" i="4" s="1"/>
  <c r="C72" i="3"/>
  <c r="B414" i="4" s="1"/>
  <c r="O71" i="3"/>
  <c r="S398" i="4" s="1"/>
  <c r="N71" i="3"/>
  <c r="M71"/>
  <c r="L71"/>
  <c r="K71"/>
  <c r="AC405" i="4" s="1"/>
  <c r="J71" i="3"/>
  <c r="I71"/>
  <c r="Y404" i="4" s="1"/>
  <c r="H71" i="3"/>
  <c r="G71"/>
  <c r="Y403" i="4" s="1"/>
  <c r="F71" i="3"/>
  <c r="E71"/>
  <c r="D71"/>
  <c r="S401" i="4" s="1"/>
  <c r="C71" i="3"/>
  <c r="S402" i="4" s="1"/>
  <c r="O70" i="3"/>
  <c r="B398" i="4" s="1"/>
  <c r="N70" i="3"/>
  <c r="M70"/>
  <c r="L70"/>
  <c r="K70"/>
  <c r="L405" i="4" s="1"/>
  <c r="J70" i="3"/>
  <c r="I70"/>
  <c r="H404" i="4" s="1"/>
  <c r="H70" i="3"/>
  <c r="G70"/>
  <c r="H403" i="4" s="1"/>
  <c r="F70" i="3"/>
  <c r="E70"/>
  <c r="D70"/>
  <c r="B401" i="4" s="1"/>
  <c r="C70" i="3"/>
  <c r="B402" i="4" s="1"/>
  <c r="O69" i="3"/>
  <c r="S386" i="4" s="1"/>
  <c r="N69" i="3"/>
  <c r="M69"/>
  <c r="L69"/>
  <c r="K69"/>
  <c r="AC393" i="4" s="1"/>
  <c r="J69" i="3"/>
  <c r="I69"/>
  <c r="Y392" i="4" s="1"/>
  <c r="H69" i="3"/>
  <c r="G69"/>
  <c r="Y391" i="4" s="1"/>
  <c r="F69" i="3"/>
  <c r="E69"/>
  <c r="D69"/>
  <c r="S389" i="4" s="1"/>
  <c r="C69" i="3"/>
  <c r="S390" i="4" s="1"/>
  <c r="O68" i="3"/>
  <c r="B386" i="4" s="1"/>
  <c r="N68" i="3"/>
  <c r="M68"/>
  <c r="L68"/>
  <c r="K68"/>
  <c r="L393" i="4" s="1"/>
  <c r="J68" i="3"/>
  <c r="I68"/>
  <c r="H392" i="4" s="1"/>
  <c r="H68" i="3"/>
  <c r="G68"/>
  <c r="H391" i="4" s="1"/>
  <c r="F68" i="3"/>
  <c r="E68"/>
  <c r="D68"/>
  <c r="B389" i="4" s="1"/>
  <c r="C68" i="3"/>
  <c r="B390" i="4" s="1"/>
  <c r="O67" i="3"/>
  <c r="S374" i="4" s="1"/>
  <c r="N67" i="3"/>
  <c r="M67"/>
  <c r="L67"/>
  <c r="K67"/>
  <c r="AC381" i="4" s="1"/>
  <c r="J67" i="3"/>
  <c r="I67"/>
  <c r="Y380" i="4" s="1"/>
  <c r="H67" i="3"/>
  <c r="G67"/>
  <c r="Y379" i="4" s="1"/>
  <c r="F67" i="3"/>
  <c r="E67"/>
  <c r="D67"/>
  <c r="S377" i="4" s="1"/>
  <c r="C67" i="3"/>
  <c r="S378" i="4" s="1"/>
  <c r="O66" i="3"/>
  <c r="B374" i="4" s="1"/>
  <c r="N66" i="3"/>
  <c r="M66"/>
  <c r="L66"/>
  <c r="K66"/>
  <c r="L381" i="4" s="1"/>
  <c r="J66" i="3"/>
  <c r="I66"/>
  <c r="H380" i="4" s="1"/>
  <c r="H66" i="3"/>
  <c r="G66"/>
  <c r="H379" i="4" s="1"/>
  <c r="F66" i="3"/>
  <c r="E66"/>
  <c r="D66"/>
  <c r="B377" i="4" s="1"/>
  <c r="C66" i="3"/>
  <c r="B378" i="4" s="1"/>
  <c r="O65" i="3"/>
  <c r="S362" i="4" s="1"/>
  <c r="N65" i="3"/>
  <c r="M65"/>
  <c r="L65"/>
  <c r="K65"/>
  <c r="AC369" i="4" s="1"/>
  <c r="J65" i="3"/>
  <c r="I65"/>
  <c r="Y368" i="4" s="1"/>
  <c r="H65" i="3"/>
  <c r="G65"/>
  <c r="Y367" i="4" s="1"/>
  <c r="F65" i="3"/>
  <c r="E65"/>
  <c r="D65"/>
  <c r="S365" i="4" s="1"/>
  <c r="C65" i="3"/>
  <c r="S366" i="4" s="1"/>
  <c r="O64" i="3"/>
  <c r="B362" i="4" s="1"/>
  <c r="N64" i="3"/>
  <c r="M64"/>
  <c r="L64"/>
  <c r="K64"/>
  <c r="L369" i="4" s="1"/>
  <c r="J64" i="3"/>
  <c r="I64"/>
  <c r="H368" i="4" s="1"/>
  <c r="H64" i="3"/>
  <c r="G64"/>
  <c r="H367" i="4" s="1"/>
  <c r="F64" i="3"/>
  <c r="E64"/>
  <c r="D64"/>
  <c r="B365" i="4" s="1"/>
  <c r="C64" i="3"/>
  <c r="B366" i="4" s="1"/>
  <c r="O63" i="3"/>
  <c r="S350" i="4" s="1"/>
  <c r="N63" i="3"/>
  <c r="M63"/>
  <c r="L63"/>
  <c r="K63"/>
  <c r="AC357" i="4" s="1"/>
  <c r="J63" i="3"/>
  <c r="I63"/>
  <c r="Y356" i="4" s="1"/>
  <c r="H63" i="3"/>
  <c r="G63"/>
  <c r="Y355" i="4" s="1"/>
  <c r="F63" i="3"/>
  <c r="E63"/>
  <c r="D63"/>
  <c r="S353" i="4" s="1"/>
  <c r="C63" i="3"/>
  <c r="S354" i="4" s="1"/>
  <c r="O62" i="3"/>
  <c r="B350" i="4" s="1"/>
  <c r="N62" i="3"/>
  <c r="M62"/>
  <c r="L62"/>
  <c r="K62"/>
  <c r="L357" i="4" s="1"/>
  <c r="J62" i="3"/>
  <c r="I62"/>
  <c r="H356" i="4" s="1"/>
  <c r="H62" i="3"/>
  <c r="G62"/>
  <c r="H355" i="4" s="1"/>
  <c r="F62" i="3"/>
  <c r="E62"/>
  <c r="D62"/>
  <c r="B353" i="4" s="1"/>
  <c r="C62" i="3"/>
  <c r="B354" i="4" s="1"/>
  <c r="O61" i="3"/>
  <c r="S338" i="4" s="1"/>
  <c r="N61" i="3"/>
  <c r="M61"/>
  <c r="L61"/>
  <c r="K61"/>
  <c r="AC345" i="4" s="1"/>
  <c r="J61" i="3"/>
  <c r="I61"/>
  <c r="Y344" i="4" s="1"/>
  <c r="H61" i="3"/>
  <c r="G61"/>
  <c r="Y343" i="4" s="1"/>
  <c r="F61" i="3"/>
  <c r="E61"/>
  <c r="D61"/>
  <c r="S341" i="4" s="1"/>
  <c r="C61" i="3"/>
  <c r="S342" i="4" s="1"/>
  <c r="O60" i="3"/>
  <c r="B338" i="4" s="1"/>
  <c r="N60" i="3"/>
  <c r="M60"/>
  <c r="L60"/>
  <c r="K60"/>
  <c r="L345" i="4" s="1"/>
  <c r="J60" i="3"/>
  <c r="I60"/>
  <c r="H344" i="4" s="1"/>
  <c r="H60" i="3"/>
  <c r="G60"/>
  <c r="H343" i="4" s="1"/>
  <c r="F60" i="3"/>
  <c r="E60"/>
  <c r="D60"/>
  <c r="B341" i="4" s="1"/>
  <c r="C60" i="3"/>
  <c r="B342" i="4" s="1"/>
  <c r="O59" i="3"/>
  <c r="S326" i="4" s="1"/>
  <c r="N59" i="3"/>
  <c r="M59"/>
  <c r="L59"/>
  <c r="K59"/>
  <c r="AC333" i="4" s="1"/>
  <c r="J59" i="3"/>
  <c r="I59"/>
  <c r="Y332" i="4" s="1"/>
  <c r="H59" i="3"/>
  <c r="G59"/>
  <c r="Y331" i="4" s="1"/>
  <c r="F59" i="3"/>
  <c r="E59"/>
  <c r="D59"/>
  <c r="S329" i="4" s="1"/>
  <c r="C59" i="3"/>
  <c r="S330" i="4" s="1"/>
  <c r="O58" i="3"/>
  <c r="B326" i="4" s="1"/>
  <c r="N58" i="3"/>
  <c r="M58"/>
  <c r="L58"/>
  <c r="K58"/>
  <c r="L333" i="4" s="1"/>
  <c r="J58" i="3"/>
  <c r="I58"/>
  <c r="H332" i="4" s="1"/>
  <c r="H58" i="3"/>
  <c r="G58"/>
  <c r="H331" i="4" s="1"/>
  <c r="F58" i="3"/>
  <c r="E58"/>
  <c r="D58"/>
  <c r="B329" i="4" s="1"/>
  <c r="C58" i="3"/>
  <c r="B330" i="4" s="1"/>
  <c r="O57" i="3"/>
  <c r="S314" i="4" s="1"/>
  <c r="N57" i="3"/>
  <c r="M57"/>
  <c r="L57"/>
  <c r="K57"/>
  <c r="AC321" i="4" s="1"/>
  <c r="J57" i="3"/>
  <c r="I57"/>
  <c r="Y320" i="4" s="1"/>
  <c r="H57" i="3"/>
  <c r="G57"/>
  <c r="Y319" i="4" s="1"/>
  <c r="F57" i="3"/>
  <c r="E57"/>
  <c r="D57"/>
  <c r="S317" i="4" s="1"/>
  <c r="C57" i="3"/>
  <c r="S318" i="4" s="1"/>
  <c r="O56" i="3"/>
  <c r="B314" i="4" s="1"/>
  <c r="N56" i="3"/>
  <c r="M56"/>
  <c r="L56"/>
  <c r="K56"/>
  <c r="L321" i="4" s="1"/>
  <c r="J56" i="3"/>
  <c r="I56"/>
  <c r="H320" i="4" s="1"/>
  <c r="H56" i="3"/>
  <c r="G56"/>
  <c r="H319" i="4" s="1"/>
  <c r="F56" i="3"/>
  <c r="E56"/>
  <c r="D56"/>
  <c r="B317" i="4" s="1"/>
  <c r="C56" i="3"/>
  <c r="B318" i="4" s="1"/>
  <c r="O55" i="3"/>
  <c r="S302" i="4" s="1"/>
  <c r="N55" i="3"/>
  <c r="M55"/>
  <c r="L55"/>
  <c r="K55"/>
  <c r="AC309" i="4" s="1"/>
  <c r="J55" i="3"/>
  <c r="I55"/>
  <c r="Y308" i="4" s="1"/>
  <c r="H55" i="3"/>
  <c r="G55"/>
  <c r="Y307" i="4" s="1"/>
  <c r="F55" i="3"/>
  <c r="E55"/>
  <c r="D55"/>
  <c r="S305" i="4" s="1"/>
  <c r="C55" i="3"/>
  <c r="S306" i="4" s="1"/>
  <c r="O54" i="3"/>
  <c r="B302" i="4" s="1"/>
  <c r="N54" i="3"/>
  <c r="M54"/>
  <c r="L54"/>
  <c r="K54"/>
  <c r="L309" i="4" s="1"/>
  <c r="J54" i="3"/>
  <c r="I54"/>
  <c r="H308" i="4" s="1"/>
  <c r="H54" i="3"/>
  <c r="G54"/>
  <c r="H307" i="4" s="1"/>
  <c r="F54" i="3"/>
  <c r="E54"/>
  <c r="D54"/>
  <c r="B305" i="4" s="1"/>
  <c r="C54" i="3"/>
  <c r="B306" i="4" s="1"/>
  <c r="O53" i="3"/>
  <c r="S290" i="4" s="1"/>
  <c r="N53" i="3"/>
  <c r="M53"/>
  <c r="L53"/>
  <c r="K53"/>
  <c r="AC297" i="4" s="1"/>
  <c r="J53" i="3"/>
  <c r="I53"/>
  <c r="Y296" i="4" s="1"/>
  <c r="H53" i="3"/>
  <c r="G53"/>
  <c r="Y295" i="4" s="1"/>
  <c r="F53" i="3"/>
  <c r="E53"/>
  <c r="D53"/>
  <c r="S293" i="4" s="1"/>
  <c r="C53" i="3"/>
  <c r="S294" i="4" s="1"/>
  <c r="O52" i="3"/>
  <c r="B290" i="4" s="1"/>
  <c r="N52" i="3"/>
  <c r="M52"/>
  <c r="L52"/>
  <c r="K52"/>
  <c r="L297" i="4" s="1"/>
  <c r="J52" i="3"/>
  <c r="I52"/>
  <c r="H296" i="4" s="1"/>
  <c r="H52" i="3"/>
  <c r="G52"/>
  <c r="H295" i="4" s="1"/>
  <c r="F52" i="3"/>
  <c r="E52"/>
  <c r="D52"/>
  <c r="B293" i="4" s="1"/>
  <c r="C52" i="3"/>
  <c r="B294" i="4" s="1"/>
  <c r="O51" i="3"/>
  <c r="S278" i="4" s="1"/>
  <c r="N51" i="3"/>
  <c r="M51"/>
  <c r="L51"/>
  <c r="K51"/>
  <c r="AC285" i="4" s="1"/>
  <c r="J51" i="3"/>
  <c r="I51"/>
  <c r="Y284" i="4" s="1"/>
  <c r="H51" i="3"/>
  <c r="G51"/>
  <c r="Y283" i="4" s="1"/>
  <c r="F51" i="3"/>
  <c r="E51"/>
  <c r="D51"/>
  <c r="S281" i="4" s="1"/>
  <c r="C51" i="3"/>
  <c r="S282" i="4" s="1"/>
  <c r="O50" i="3"/>
  <c r="B278" i="4" s="1"/>
  <c r="N50" i="3"/>
  <c r="M50"/>
  <c r="L50"/>
  <c r="K50"/>
  <c r="L285" i="4" s="1"/>
  <c r="J50" i="3"/>
  <c r="I50"/>
  <c r="H284" i="4" s="1"/>
  <c r="H50" i="3"/>
  <c r="G50"/>
  <c r="H283" i="4" s="1"/>
  <c r="F50" i="3"/>
  <c r="E50"/>
  <c r="D50"/>
  <c r="B281" i="4" s="1"/>
  <c r="C50" i="3"/>
  <c r="B282" i="4" s="1"/>
  <c r="O49" i="3"/>
  <c r="S266" i="4" s="1"/>
  <c r="N49" i="3"/>
  <c r="M49"/>
  <c r="L49"/>
  <c r="K49"/>
  <c r="AC273" i="4" s="1"/>
  <c r="J49" i="3"/>
  <c r="I49"/>
  <c r="Y272" i="4" s="1"/>
  <c r="H49" i="3"/>
  <c r="G49"/>
  <c r="Y271" i="4" s="1"/>
  <c r="F49" i="3"/>
  <c r="E49"/>
  <c r="D49"/>
  <c r="S269" i="4" s="1"/>
  <c r="C49" i="3"/>
  <c r="S270" i="4" s="1"/>
  <c r="O48" i="3"/>
  <c r="B266" i="4" s="1"/>
  <c r="N48" i="3"/>
  <c r="M48"/>
  <c r="L48"/>
  <c r="K48"/>
  <c r="L273" i="4" s="1"/>
  <c r="J48" i="3"/>
  <c r="I48"/>
  <c r="H272" i="4" s="1"/>
  <c r="H48" i="3"/>
  <c r="G48"/>
  <c r="H271" i="4" s="1"/>
  <c r="F48" i="3"/>
  <c r="E48"/>
  <c r="D48"/>
  <c r="B269" i="4" s="1"/>
  <c r="C48" i="3"/>
  <c r="B270" i="4" s="1"/>
  <c r="O47" i="3"/>
  <c r="S254" i="4" s="1"/>
  <c r="N47" i="3"/>
  <c r="M47"/>
  <c r="L47"/>
  <c r="K47"/>
  <c r="AC261" i="4" s="1"/>
  <c r="J47" i="3"/>
  <c r="I47"/>
  <c r="Y260" i="4" s="1"/>
  <c r="H47" i="3"/>
  <c r="G47"/>
  <c r="Y259" i="4" s="1"/>
  <c r="F47" i="3"/>
  <c r="E47"/>
  <c r="D47"/>
  <c r="S257" i="4" s="1"/>
  <c r="C47" i="3"/>
  <c r="S258" i="4" s="1"/>
  <c r="O46" i="3"/>
  <c r="B254" i="4" s="1"/>
  <c r="N46" i="3"/>
  <c r="M46"/>
  <c r="L46"/>
  <c r="K46"/>
  <c r="L261" i="4" s="1"/>
  <c r="J46" i="3"/>
  <c r="I46"/>
  <c r="H260" i="4" s="1"/>
  <c r="H46" i="3"/>
  <c r="G46"/>
  <c r="H259" i="4" s="1"/>
  <c r="F46" i="3"/>
  <c r="E46"/>
  <c r="D46"/>
  <c r="B257" i="4" s="1"/>
  <c r="C46" i="3"/>
  <c r="B258" i="4" s="1"/>
  <c r="O45" i="3"/>
  <c r="S242" i="4" s="1"/>
  <c r="N45" i="3"/>
  <c r="M45"/>
  <c r="L45"/>
  <c r="K45"/>
  <c r="AC249" i="4" s="1"/>
  <c r="J45" i="3"/>
  <c r="I45"/>
  <c r="Y248" i="4" s="1"/>
  <c r="H45" i="3"/>
  <c r="G45"/>
  <c r="Y247" i="4" s="1"/>
  <c r="F45" i="3"/>
  <c r="E45"/>
  <c r="D45"/>
  <c r="S245" i="4" s="1"/>
  <c r="C45" i="3"/>
  <c r="S246" i="4" s="1"/>
  <c r="O44" i="3"/>
  <c r="B242" i="4" s="1"/>
  <c r="N44" i="3"/>
  <c r="M44"/>
  <c r="L44"/>
  <c r="K44"/>
  <c r="L249" i="4" s="1"/>
  <c r="J44" i="3"/>
  <c r="I44"/>
  <c r="H248" i="4" s="1"/>
  <c r="H44" i="3"/>
  <c r="G44"/>
  <c r="H247" i="4" s="1"/>
  <c r="F44" i="3"/>
  <c r="E44"/>
  <c r="D44"/>
  <c r="B245" i="4" s="1"/>
  <c r="C44" i="3"/>
  <c r="B246" i="4" s="1"/>
  <c r="O43" i="3"/>
  <c r="S230" i="4" s="1"/>
  <c r="N43" i="3"/>
  <c r="M43"/>
  <c r="L43"/>
  <c r="K43"/>
  <c r="AC237" i="4" s="1"/>
  <c r="J43" i="3"/>
  <c r="I43"/>
  <c r="Y236" i="4" s="1"/>
  <c r="H43" i="3"/>
  <c r="G43"/>
  <c r="Y235" i="4" s="1"/>
  <c r="F43" i="3"/>
  <c r="E43"/>
  <c r="D43"/>
  <c r="S233" i="4" s="1"/>
  <c r="C43" i="3"/>
  <c r="S234" i="4" s="1"/>
  <c r="O42" i="3"/>
  <c r="B230" i="4" s="1"/>
  <c r="N42" i="3"/>
  <c r="M42"/>
  <c r="L42"/>
  <c r="K42"/>
  <c r="L237" i="4" s="1"/>
  <c r="J42" i="3"/>
  <c r="I42"/>
  <c r="H236" i="4" s="1"/>
  <c r="H42" i="3"/>
  <c r="G42"/>
  <c r="H235" i="4" s="1"/>
  <c r="F42" i="3"/>
  <c r="E42"/>
  <c r="D42"/>
  <c r="B233" i="4" s="1"/>
  <c r="C42" i="3"/>
  <c r="B234" i="4" s="1"/>
  <c r="O41" i="3"/>
  <c r="S218" i="4" s="1"/>
  <c r="N41" i="3"/>
  <c r="M41"/>
  <c r="L41"/>
  <c r="K41"/>
  <c r="AC225" i="4" s="1"/>
  <c r="J41" i="3"/>
  <c r="I41"/>
  <c r="Y224" i="4" s="1"/>
  <c r="H41" i="3"/>
  <c r="G41"/>
  <c r="Y223" i="4" s="1"/>
  <c r="F41" i="3"/>
  <c r="E41"/>
  <c r="D41"/>
  <c r="S221" i="4" s="1"/>
  <c r="C41" i="3"/>
  <c r="S222" i="4" s="1"/>
  <c r="O40" i="3"/>
  <c r="B218" i="4" s="1"/>
  <c r="N40" i="3"/>
  <c r="M40"/>
  <c r="L40"/>
  <c r="K40"/>
  <c r="L225" i="4" s="1"/>
  <c r="J40" i="3"/>
  <c r="I40"/>
  <c r="H224" i="4" s="1"/>
  <c r="H40" i="3"/>
  <c r="G40"/>
  <c r="H223" i="4" s="1"/>
  <c r="F40" i="3"/>
  <c r="E40"/>
  <c r="D40"/>
  <c r="B221" i="4" s="1"/>
  <c r="C40" i="3"/>
  <c r="B222" i="4" s="1"/>
  <c r="O39" i="3"/>
  <c r="S206" i="4" s="1"/>
  <c r="N39" i="3"/>
  <c r="M39"/>
  <c r="L39"/>
  <c r="K39"/>
  <c r="AC213" i="4" s="1"/>
  <c r="J39" i="3"/>
  <c r="I39"/>
  <c r="Y212" i="4" s="1"/>
  <c r="H39" i="3"/>
  <c r="G39"/>
  <c r="Y211" i="4" s="1"/>
  <c r="F39" i="3"/>
  <c r="E39"/>
  <c r="D39"/>
  <c r="S209" i="4" s="1"/>
  <c r="C39" i="3"/>
  <c r="S210" i="4" s="1"/>
  <c r="O38" i="3"/>
  <c r="B206" i="4" s="1"/>
  <c r="N38" i="3"/>
  <c r="M38"/>
  <c r="L38"/>
  <c r="K38"/>
  <c r="L213" i="4" s="1"/>
  <c r="J38" i="3"/>
  <c r="I38"/>
  <c r="H212" i="4" s="1"/>
  <c r="H38" i="3"/>
  <c r="G38"/>
  <c r="H211" i="4" s="1"/>
  <c r="F38" i="3"/>
  <c r="E38"/>
  <c r="D38"/>
  <c r="B209" i="4" s="1"/>
  <c r="C38" i="3"/>
  <c r="B210" i="4" s="1"/>
  <c r="O37" i="3"/>
  <c r="S194" i="4" s="1"/>
  <c r="N37" i="3"/>
  <c r="M37"/>
  <c r="L37"/>
  <c r="K37"/>
  <c r="AC201" i="4" s="1"/>
  <c r="J37" i="3"/>
  <c r="I37"/>
  <c r="Y200" i="4" s="1"/>
  <c r="H37" i="3"/>
  <c r="G37"/>
  <c r="Y199" i="4" s="1"/>
  <c r="F37" i="3"/>
  <c r="E37"/>
  <c r="D37"/>
  <c r="S197" i="4" s="1"/>
  <c r="C37" i="3"/>
  <c r="S198" i="4" s="1"/>
  <c r="O36" i="3"/>
  <c r="B194" i="4" s="1"/>
  <c r="N36" i="3"/>
  <c r="M36"/>
  <c r="L36"/>
  <c r="K36"/>
  <c r="L201" i="4" s="1"/>
  <c r="J36" i="3"/>
  <c r="I36"/>
  <c r="H200" i="4" s="1"/>
  <c r="H36" i="3"/>
  <c r="G36"/>
  <c r="H199" i="4" s="1"/>
  <c r="F36" i="3"/>
  <c r="E36"/>
  <c r="D36"/>
  <c r="B197" i="4" s="1"/>
  <c r="C36" i="3"/>
  <c r="B198" i="4" s="1"/>
  <c r="O35" i="3"/>
  <c r="S182" i="4" s="1"/>
  <c r="N35" i="3"/>
  <c r="M35"/>
  <c r="L35"/>
  <c r="K35"/>
  <c r="AC189" i="4" s="1"/>
  <c r="J35" i="3"/>
  <c r="I35"/>
  <c r="Y188" i="4" s="1"/>
  <c r="H35" i="3"/>
  <c r="G35"/>
  <c r="Y187" i="4" s="1"/>
  <c r="F35" i="3"/>
  <c r="E35"/>
  <c r="D35"/>
  <c r="S185" i="4" s="1"/>
  <c r="C35" i="3"/>
  <c r="S186" i="4" s="1"/>
  <c r="O34" i="3"/>
  <c r="B182" i="4" s="1"/>
  <c r="N34" i="3"/>
  <c r="M34"/>
  <c r="L34"/>
  <c r="K34"/>
  <c r="L189" i="4" s="1"/>
  <c r="J34" i="3"/>
  <c r="I34"/>
  <c r="H188" i="4" s="1"/>
  <c r="H34" i="3"/>
  <c r="G34"/>
  <c r="H187" i="4" s="1"/>
  <c r="F34" i="3"/>
  <c r="E34"/>
  <c r="D34"/>
  <c r="B185" i="4" s="1"/>
  <c r="C34" i="3"/>
  <c r="B186" i="4" s="1"/>
  <c r="O33" i="3"/>
  <c r="S170" i="4" s="1"/>
  <c r="N33" i="3"/>
  <c r="M33"/>
  <c r="L33"/>
  <c r="K33"/>
  <c r="AC177" i="4" s="1"/>
  <c r="J33" i="3"/>
  <c r="I33"/>
  <c r="Y176" i="4" s="1"/>
  <c r="H33" i="3"/>
  <c r="G33"/>
  <c r="Y175" i="4" s="1"/>
  <c r="F33" i="3"/>
  <c r="E33"/>
  <c r="D33"/>
  <c r="S173" i="4" s="1"/>
  <c r="C33" i="3"/>
  <c r="S174" i="4" s="1"/>
  <c r="O32" i="3"/>
  <c r="B170" i="4" s="1"/>
  <c r="N32" i="3"/>
  <c r="M32"/>
  <c r="L32"/>
  <c r="K32"/>
  <c r="L177" i="4" s="1"/>
  <c r="J32" i="3"/>
  <c r="I32"/>
  <c r="H176" i="4" s="1"/>
  <c r="H32" i="3"/>
  <c r="G32"/>
  <c r="H175" i="4" s="1"/>
  <c r="F32" i="3"/>
  <c r="E32"/>
  <c r="D32"/>
  <c r="B173" i="4" s="1"/>
  <c r="C32" i="3"/>
  <c r="B174" i="4" s="1"/>
  <c r="O31" i="3"/>
  <c r="S158" i="4" s="1"/>
  <c r="N31" i="3"/>
  <c r="M31"/>
  <c r="L31"/>
  <c r="K31"/>
  <c r="AC165" i="4" s="1"/>
  <c r="J31" i="3"/>
  <c r="I31"/>
  <c r="Y164" i="4" s="1"/>
  <c r="H31" i="3"/>
  <c r="G31"/>
  <c r="Y163" i="4" s="1"/>
  <c r="F31" i="3"/>
  <c r="E31"/>
  <c r="D31"/>
  <c r="S161" i="4" s="1"/>
  <c r="C31" i="3"/>
  <c r="S162" i="4" s="1"/>
  <c r="O30" i="3"/>
  <c r="B158" i="4" s="1"/>
  <c r="N30" i="3"/>
  <c r="M30"/>
  <c r="L30"/>
  <c r="K30"/>
  <c r="L165" i="4" s="1"/>
  <c r="J30" i="3"/>
  <c r="I30"/>
  <c r="H164" i="4" s="1"/>
  <c r="H30" i="3"/>
  <c r="G30"/>
  <c r="H163" i="4" s="1"/>
  <c r="F30" i="3"/>
  <c r="E30"/>
  <c r="D30"/>
  <c r="B161" i="4" s="1"/>
  <c r="C30" i="3"/>
  <c r="B162" i="4" s="1"/>
  <c r="O29" i="3"/>
  <c r="S146" i="4" s="1"/>
  <c r="N29" i="3"/>
  <c r="M29"/>
  <c r="L29"/>
  <c r="K29"/>
  <c r="AC153" i="4" s="1"/>
  <c r="J29" i="3"/>
  <c r="I29"/>
  <c r="Y152" i="4" s="1"/>
  <c r="H29" i="3"/>
  <c r="G29"/>
  <c r="Y151" i="4" s="1"/>
  <c r="F29" i="3"/>
  <c r="E29"/>
  <c r="D29"/>
  <c r="S149" i="4" s="1"/>
  <c r="C29" i="3"/>
  <c r="S150" i="4" s="1"/>
  <c r="O28" i="3"/>
  <c r="B146" i="4" s="1"/>
  <c r="N28" i="3"/>
  <c r="M28"/>
  <c r="L28"/>
  <c r="K28"/>
  <c r="L153" i="4" s="1"/>
  <c r="J28" i="3"/>
  <c r="I28"/>
  <c r="H152" i="4" s="1"/>
  <c r="H28" i="3"/>
  <c r="G28"/>
  <c r="H151" i="4" s="1"/>
  <c r="F28" i="3"/>
  <c r="E28"/>
  <c r="D28"/>
  <c r="B149" i="4" s="1"/>
  <c r="C28" i="3"/>
  <c r="B150" i="4" s="1"/>
  <c r="O27" i="3"/>
  <c r="S134" i="4" s="1"/>
  <c r="N27" i="3"/>
  <c r="M27"/>
  <c r="L27"/>
  <c r="K27"/>
  <c r="AC141" i="4" s="1"/>
  <c r="J27" i="3"/>
  <c r="I27"/>
  <c r="Y140" i="4" s="1"/>
  <c r="H27" i="3"/>
  <c r="G27"/>
  <c r="Y139" i="4" s="1"/>
  <c r="F27" i="3"/>
  <c r="E27"/>
  <c r="D27"/>
  <c r="S137" i="4" s="1"/>
  <c r="C27" i="3"/>
  <c r="S138" i="4" s="1"/>
  <c r="O26" i="3"/>
  <c r="B134" i="4" s="1"/>
  <c r="N26" i="3"/>
  <c r="M26"/>
  <c r="L26"/>
  <c r="K26"/>
  <c r="L141" i="4" s="1"/>
  <c r="J26" i="3"/>
  <c r="I26"/>
  <c r="H140" i="4" s="1"/>
  <c r="H26" i="3"/>
  <c r="G26"/>
  <c r="H139" i="4" s="1"/>
  <c r="F26" i="3"/>
  <c r="E26"/>
  <c r="D26"/>
  <c r="B137" i="4" s="1"/>
  <c r="C26" i="3"/>
  <c r="B138" i="4" s="1"/>
  <c r="O25" i="3"/>
  <c r="S122" i="4" s="1"/>
  <c r="N25" i="3"/>
  <c r="M25"/>
  <c r="L25"/>
  <c r="K25"/>
  <c r="AC129" i="4" s="1"/>
  <c r="J25" i="3"/>
  <c r="I25"/>
  <c r="Y128" i="4" s="1"/>
  <c r="H25" i="3"/>
  <c r="G25"/>
  <c r="Y127" i="4" s="1"/>
  <c r="F25" i="3"/>
  <c r="E25"/>
  <c r="D25"/>
  <c r="S125" i="4" s="1"/>
  <c r="C25" i="3"/>
  <c r="S126" i="4" s="1"/>
  <c r="O24" i="3"/>
  <c r="B122" i="4" s="1"/>
  <c r="N24" i="3"/>
  <c r="M24"/>
  <c r="L24"/>
  <c r="K24"/>
  <c r="L129" i="4" s="1"/>
  <c r="J24" i="3"/>
  <c r="I24"/>
  <c r="H128" i="4" s="1"/>
  <c r="H24" i="3"/>
  <c r="G24"/>
  <c r="H127" i="4" s="1"/>
  <c r="F24" i="3"/>
  <c r="E24"/>
  <c r="D24"/>
  <c r="B125" i="4" s="1"/>
  <c r="C24" i="3"/>
  <c r="B126" i="4" s="1"/>
  <c r="O23" i="3"/>
  <c r="S110" i="4" s="1"/>
  <c r="N23" i="3"/>
  <c r="M23"/>
  <c r="L23"/>
  <c r="K23"/>
  <c r="AC117" i="4" s="1"/>
  <c r="J23" i="3"/>
  <c r="I23"/>
  <c r="Y116" i="4" s="1"/>
  <c r="H23" i="3"/>
  <c r="G23"/>
  <c r="Y115" i="4" s="1"/>
  <c r="F23" i="3"/>
  <c r="E23"/>
  <c r="D23"/>
  <c r="S113" i="4" s="1"/>
  <c r="C23" i="3"/>
  <c r="S114" i="4" s="1"/>
  <c r="O22" i="3"/>
  <c r="B110" i="4" s="1"/>
  <c r="N22" i="3"/>
  <c r="M22"/>
  <c r="L22"/>
  <c r="K22"/>
  <c r="L117" i="4" s="1"/>
  <c r="J22" i="3"/>
  <c r="I22"/>
  <c r="H116" i="4" s="1"/>
  <c r="H22" i="3"/>
  <c r="G22"/>
  <c r="H115" i="4" s="1"/>
  <c r="F22" i="3"/>
  <c r="E22"/>
  <c r="D22"/>
  <c r="B113" i="4" s="1"/>
  <c r="C22" i="3"/>
  <c r="B114" i="4" s="1"/>
  <c r="O21" i="3"/>
  <c r="S98" i="4" s="1"/>
  <c r="N21" i="3"/>
  <c r="M21"/>
  <c r="L21"/>
  <c r="K21"/>
  <c r="AC105" i="4" s="1"/>
  <c r="J21" i="3"/>
  <c r="I21"/>
  <c r="Y104" i="4" s="1"/>
  <c r="H21" i="3"/>
  <c r="G21"/>
  <c r="Y103" i="4" s="1"/>
  <c r="F21" i="3"/>
  <c r="E21"/>
  <c r="D21"/>
  <c r="S101" i="4" s="1"/>
  <c r="C21" i="3"/>
  <c r="S102" i="4" s="1"/>
  <c r="O20" i="3"/>
  <c r="B98" i="4" s="1"/>
  <c r="N20" i="3"/>
  <c r="M20"/>
  <c r="L20"/>
  <c r="K20"/>
  <c r="L105" i="4" s="1"/>
  <c r="J20" i="3"/>
  <c r="I20"/>
  <c r="H104" i="4" s="1"/>
  <c r="H20" i="3"/>
  <c r="G20"/>
  <c r="H103" i="4" s="1"/>
  <c r="F20" i="3"/>
  <c r="E20"/>
  <c r="D20"/>
  <c r="B101" i="4" s="1"/>
  <c r="C20" i="3"/>
  <c r="B102" i="4" s="1"/>
  <c r="O19" i="3"/>
  <c r="S86" i="4" s="1"/>
  <c r="N19" i="3"/>
  <c r="M19"/>
  <c r="L19"/>
  <c r="K19"/>
  <c r="AC93" i="4" s="1"/>
  <c r="J19" i="3"/>
  <c r="I19"/>
  <c r="Y92" i="4" s="1"/>
  <c r="H19" i="3"/>
  <c r="G19"/>
  <c r="Y91" i="4" s="1"/>
  <c r="F19" i="3"/>
  <c r="E19"/>
  <c r="D19"/>
  <c r="S89" i="4" s="1"/>
  <c r="C19" i="3"/>
  <c r="S90" i="4" s="1"/>
  <c r="O18" i="3"/>
  <c r="B86" i="4" s="1"/>
  <c r="N18" i="3"/>
  <c r="M18"/>
  <c r="L18"/>
  <c r="K18"/>
  <c r="L93" i="4" s="1"/>
  <c r="J18" i="3"/>
  <c r="I18"/>
  <c r="H92" i="4" s="1"/>
  <c r="H18" i="3"/>
  <c r="G18"/>
  <c r="H91" i="4" s="1"/>
  <c r="F18" i="3"/>
  <c r="E18"/>
  <c r="D18"/>
  <c r="B89" i="4" s="1"/>
  <c r="C18" i="3"/>
  <c r="B90" i="4" s="1"/>
  <c r="O17" i="3"/>
  <c r="S74" i="4" s="1"/>
  <c r="N17" i="3"/>
  <c r="M17"/>
  <c r="L17"/>
  <c r="K17"/>
  <c r="AC81" i="4" s="1"/>
  <c r="J17" i="3"/>
  <c r="I17"/>
  <c r="Y80" i="4" s="1"/>
  <c r="H17" i="3"/>
  <c r="G17"/>
  <c r="Y79" i="4" s="1"/>
  <c r="F17" i="3"/>
  <c r="E17"/>
  <c r="D17"/>
  <c r="S77" i="4" s="1"/>
  <c r="C17" i="3"/>
  <c r="S78" i="4" s="1"/>
  <c r="O16" i="3"/>
  <c r="B74" i="4" s="1"/>
  <c r="N16" i="3"/>
  <c r="M16"/>
  <c r="L16"/>
  <c r="K16"/>
  <c r="L81" i="4" s="1"/>
  <c r="J16" i="3"/>
  <c r="I16"/>
  <c r="H80" i="4" s="1"/>
  <c r="H16" i="3"/>
  <c r="G16"/>
  <c r="H79" i="4" s="1"/>
  <c r="F16" i="3"/>
  <c r="E16"/>
  <c r="D16"/>
  <c r="B77" i="4" s="1"/>
  <c r="C16" i="3"/>
  <c r="B78" i="4" s="1"/>
  <c r="O15" i="3"/>
  <c r="S62" i="4" s="1"/>
  <c r="N15" i="3"/>
  <c r="M15"/>
  <c r="L15"/>
  <c r="K15"/>
  <c r="AC69" i="4" s="1"/>
  <c r="J15" i="3"/>
  <c r="I15"/>
  <c r="Y68" i="4" s="1"/>
  <c r="H15" i="3"/>
  <c r="G15"/>
  <c r="Y67" i="4" s="1"/>
  <c r="F15" i="3"/>
  <c r="E15"/>
  <c r="D15"/>
  <c r="S65" i="4" s="1"/>
  <c r="C15" i="3"/>
  <c r="S66" i="4" s="1"/>
  <c r="O14" i="3"/>
  <c r="B62" i="4" s="1"/>
  <c r="N14" i="3"/>
  <c r="M14"/>
  <c r="L14"/>
  <c r="K14"/>
  <c r="L69" i="4" s="1"/>
  <c r="J14" i="3"/>
  <c r="I14"/>
  <c r="H68" i="4" s="1"/>
  <c r="H14" i="3"/>
  <c r="G14"/>
  <c r="H67" i="4" s="1"/>
  <c r="F14" i="3"/>
  <c r="E14"/>
  <c r="D14"/>
  <c r="B65" i="4" s="1"/>
  <c r="C14" i="3"/>
  <c r="B66" i="4" s="1"/>
  <c r="O13" i="3"/>
  <c r="S50" i="4" s="1"/>
  <c r="N13" i="3"/>
  <c r="M13"/>
  <c r="L13"/>
  <c r="K13"/>
  <c r="AC57" i="4" s="1"/>
  <c r="J13" i="3"/>
  <c r="I13"/>
  <c r="Y56" i="4" s="1"/>
  <c r="H13" i="3"/>
  <c r="G13"/>
  <c r="Y55" i="4" s="1"/>
  <c r="F13" i="3"/>
  <c r="E13"/>
  <c r="D13"/>
  <c r="S53" i="4" s="1"/>
  <c r="C13" i="3"/>
  <c r="S54" i="4" s="1"/>
  <c r="O12" i="3"/>
  <c r="B50" i="4" s="1"/>
  <c r="N12" i="3"/>
  <c r="M12"/>
  <c r="L12"/>
  <c r="K12"/>
  <c r="L57" i="4" s="1"/>
  <c r="J12" i="3"/>
  <c r="I12"/>
  <c r="H56" i="4" s="1"/>
  <c r="H12" i="3"/>
  <c r="G12"/>
  <c r="H55" i="4" s="1"/>
  <c r="F12" i="3"/>
  <c r="E12"/>
  <c r="D12"/>
  <c r="B53" i="4" s="1"/>
  <c r="C12" i="3"/>
  <c r="B54" i="4" s="1"/>
  <c r="O11" i="3"/>
  <c r="S38" i="4" s="1"/>
  <c r="N11" i="3"/>
  <c r="M11"/>
  <c r="L11"/>
  <c r="K11"/>
  <c r="AC45" i="4" s="1"/>
  <c r="J11" i="3"/>
  <c r="I11"/>
  <c r="Y44" i="4" s="1"/>
  <c r="H11" i="3"/>
  <c r="G11"/>
  <c r="Y43" i="4" s="1"/>
  <c r="F11" i="3"/>
  <c r="E11"/>
  <c r="D11"/>
  <c r="S41" i="4" s="1"/>
  <c r="C11" i="3"/>
  <c r="S42" i="4" s="1"/>
  <c r="O10" i="3"/>
  <c r="B38" i="4" s="1"/>
  <c r="N10" i="3"/>
  <c r="M10"/>
  <c r="L10"/>
  <c r="K10"/>
  <c r="L45" i="4" s="1"/>
  <c r="J10" i="3"/>
  <c r="I10"/>
  <c r="H44" i="4" s="1"/>
  <c r="H10" i="3"/>
  <c r="G10"/>
  <c r="H43" i="4" s="1"/>
  <c r="F10" i="3"/>
  <c r="E10"/>
  <c r="D10"/>
  <c r="B41" i="4" s="1"/>
  <c r="C10" i="3"/>
  <c r="B42" i="4" s="1"/>
  <c r="O9" i="3"/>
  <c r="S26" i="4" s="1"/>
  <c r="N9" i="3"/>
  <c r="M9"/>
  <c r="L9"/>
  <c r="K9"/>
  <c r="AC33" i="4" s="1"/>
  <c r="J9" i="3"/>
  <c r="I9"/>
  <c r="Y32" i="4" s="1"/>
  <c r="H9" i="3"/>
  <c r="G9"/>
  <c r="Y31" i="4" s="1"/>
  <c r="F9" i="3"/>
  <c r="E9"/>
  <c r="D9"/>
  <c r="S29" i="4" s="1"/>
  <c r="C9" i="3"/>
  <c r="S30" i="4" s="1"/>
  <c r="O8" i="3"/>
  <c r="B26" i="4" s="1"/>
  <c r="N8" i="3"/>
  <c r="M8"/>
  <c r="L8"/>
  <c r="K8"/>
  <c r="L33" i="4" s="1"/>
  <c r="J8" i="3"/>
  <c r="I8"/>
  <c r="H32" i="4" s="1"/>
  <c r="H8" i="3"/>
  <c r="G8"/>
  <c r="H31" i="4" s="1"/>
  <c r="F8" i="3"/>
  <c r="E8"/>
  <c r="D8"/>
  <c r="B29" i="4" s="1"/>
  <c r="C8" i="3"/>
  <c r="B30" i="4" s="1"/>
  <c r="O7" i="3"/>
  <c r="S14" i="4" s="1"/>
  <c r="N7" i="3"/>
  <c r="M7"/>
  <c r="L7"/>
  <c r="K7"/>
  <c r="AC21" i="4" s="1"/>
  <c r="J7" i="3"/>
  <c r="I7"/>
  <c r="Y20" i="4" s="1"/>
  <c r="H7" i="3"/>
  <c r="G7"/>
  <c r="Y19" i="4" s="1"/>
  <c r="F7" i="3"/>
  <c r="E7"/>
  <c r="D7"/>
  <c r="S17" i="4" s="1"/>
  <c r="C7" i="3"/>
  <c r="S18" i="4" s="1"/>
  <c r="O6" i="3"/>
  <c r="B14" i="4" s="1"/>
  <c r="N6" i="3"/>
  <c r="M6"/>
  <c r="L6"/>
  <c r="K6"/>
  <c r="L21" i="4" s="1"/>
  <c r="J6" i="3"/>
  <c r="I6"/>
  <c r="H20" i="4" s="1"/>
  <c r="H6" i="3"/>
  <c r="G6"/>
  <c r="H19" i="4" s="1"/>
  <c r="F6" i="3"/>
  <c r="E6"/>
  <c r="D6"/>
  <c r="B17" i="4" s="1"/>
  <c r="C6" i="3"/>
  <c r="B18" i="4" s="1"/>
  <c r="O5" i="3"/>
  <c r="S2" i="4" s="1"/>
  <c r="N5" i="3"/>
  <c r="M5"/>
  <c r="L5"/>
  <c r="K5"/>
  <c r="AC9" i="4" s="1"/>
  <c r="J5" i="3"/>
  <c r="I5"/>
  <c r="Y8" i="4" s="1"/>
  <c r="H5" i="3"/>
  <c r="G5"/>
  <c r="Y7" i="4" s="1"/>
  <c r="F5" i="3"/>
  <c r="E5"/>
  <c r="D5"/>
  <c r="S5" i="4" s="1"/>
  <c r="C5" i="3"/>
  <c r="S6" i="4" s="1"/>
  <c r="O4" i="3"/>
  <c r="B2" i="4" s="1"/>
  <c r="N4" i="3"/>
  <c r="M4"/>
  <c r="L4"/>
  <c r="K4"/>
  <c r="L9" i="4" s="1"/>
  <c r="J4" i="3"/>
  <c r="I4"/>
  <c r="H8" i="4" s="1"/>
  <c r="H4" i="3"/>
  <c r="G4"/>
  <c r="H7" i="4" s="1"/>
  <c r="F4" i="3"/>
  <c r="E4"/>
  <c r="D4"/>
  <c r="B5" i="4" s="1"/>
  <c r="C4" i="3"/>
  <c r="B6" i="4" s="1"/>
  <c r="B9"/>
</calcChain>
</file>

<file path=xl/comments1.xml><?xml version="1.0" encoding="utf-8"?>
<comments xmlns="http://schemas.openxmlformats.org/spreadsheetml/2006/main">
  <authors>
    <author>渥美政廣</author>
  </authors>
  <commentList>
    <comment ref="A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分かりやすい名前を付けてください。</t>
        </r>
      </text>
    </comment>
    <comment ref="B13" authorId="0">
      <text>
        <r>
          <rPr>
            <b/>
            <sz val="9"/>
            <color indexed="81"/>
            <rFont val="ＭＳ Ｐゴシック"/>
            <family val="3"/>
            <charset val="128"/>
          </rPr>
          <t>一番左上のPOPのセルの位置を入力
他のPOPは上記のPOP設定から計算します。</t>
        </r>
      </text>
    </comment>
    <comment ref="C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セルに入る式を入力。
{index}には印刷シートのレコード位置が入ると考えてください。</t>
        </r>
      </text>
    </comment>
  </commentList>
</comments>
</file>

<file path=xl/sharedStrings.xml><?xml version="1.0" encoding="utf-8"?>
<sst xmlns="http://schemas.openxmlformats.org/spreadsheetml/2006/main" count="202" uniqueCount="187">
  <si>
    <t>JANコード</t>
    <phoneticPr fontId="1"/>
  </si>
  <si>
    <t>商品名</t>
    <rPh sb="0" eb="3">
      <t>ショウヒンメイ</t>
    </rPh>
    <phoneticPr fontId="1"/>
  </si>
  <si>
    <t>メーカー名</t>
    <rPh sb="4" eb="5">
      <t>メイ</t>
    </rPh>
    <phoneticPr fontId="1"/>
  </si>
  <si>
    <t>大カテゴリ</t>
    <rPh sb="0" eb="1">
      <t>ダイ</t>
    </rPh>
    <phoneticPr fontId="1"/>
  </si>
  <si>
    <t>小カテゴリ</t>
    <rPh sb="0" eb="1">
      <t>ショウ</t>
    </rPh>
    <phoneticPr fontId="1"/>
  </si>
  <si>
    <t>単位</t>
    <rPh sb="0" eb="2">
      <t>タンイ</t>
    </rPh>
    <phoneticPr fontId="1"/>
  </si>
  <si>
    <t>上代単価</t>
    <rPh sb="0" eb="2">
      <t>ジョウダイ</t>
    </rPh>
    <rPh sb="2" eb="4">
      <t>タンカ</t>
    </rPh>
    <phoneticPr fontId="1"/>
  </si>
  <si>
    <t>バラ単価</t>
    <rPh sb="2" eb="4">
      <t>タンカ</t>
    </rPh>
    <phoneticPr fontId="1"/>
  </si>
  <si>
    <t>入数</t>
    <rPh sb="0" eb="1">
      <t>イ</t>
    </rPh>
    <rPh sb="1" eb="2">
      <t>スウ</t>
    </rPh>
    <phoneticPr fontId="1"/>
  </si>
  <si>
    <t>ボール単価</t>
    <rPh sb="3" eb="5">
      <t>タンカ</t>
    </rPh>
    <phoneticPr fontId="1"/>
  </si>
  <si>
    <t>原価１</t>
    <rPh sb="0" eb="2">
      <t>ゲンカ</t>
    </rPh>
    <phoneticPr fontId="1"/>
  </si>
  <si>
    <t>原価２</t>
    <rPh sb="0" eb="2">
      <t>ゲンカ</t>
    </rPh>
    <phoneticPr fontId="1"/>
  </si>
  <si>
    <t>原価３</t>
    <rPh sb="0" eb="2">
      <t>ゲンカ</t>
    </rPh>
    <phoneticPr fontId="1"/>
  </si>
  <si>
    <t>キャッチコピー</t>
    <phoneticPr fontId="1"/>
  </si>
  <si>
    <t>商品台帳</t>
    <rPh sb="0" eb="2">
      <t>ショウヒン</t>
    </rPh>
    <rPh sb="2" eb="4">
      <t>ダイチョウ</t>
    </rPh>
    <phoneticPr fontId="1"/>
  </si>
  <si>
    <t>印刷シート</t>
    <rPh sb="0" eb="2">
      <t>インサツ</t>
    </rPh>
    <phoneticPr fontId="1"/>
  </si>
  <si>
    <t>POP</t>
    <phoneticPr fontId="1"/>
  </si>
  <si>
    <t>No</t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</si>
  <si>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</si>
  <si>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</si>
  <si>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</si>
  <si>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</si>
  <si>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</si>
  <si>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</si>
  <si>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</si>
  <si>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</si>
  <si>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</si>
  <si>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</si>
  <si>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</si>
  <si>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</si>
  <si>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</si>
  <si>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</si>
  <si>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</si>
  <si>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</si>
  <si>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</si>
  <si>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</si>
  <si>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</si>
  <si>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</si>
  <si>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</si>
  <si>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</si>
  <si>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</si>
  <si>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</si>
  <si>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</si>
  <si>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</si>
  <si>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</si>
  <si>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</si>
  <si>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</si>
  <si>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</si>
  <si>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</si>
  <si>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</si>
  <si>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</si>
  <si>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</si>
  <si>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</si>
  <si>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</si>
  <si>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</si>
  <si>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</si>
  <si>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</si>
  <si>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</si>
  <si>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</si>
  <si>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</si>
  <si>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</si>
  <si>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</si>
  <si>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</si>
  <si>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</si>
  <si>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</si>
  <si>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</si>
  <si>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</si>
  <si>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</si>
  <si>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</si>
  <si>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</si>
  <si>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</si>
  <si>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</si>
  <si>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</si>
  <si>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</si>
  <si>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</si>
  <si>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</si>
  <si>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</si>
  <si>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</si>
  <si>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</si>
  <si>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</si>
  <si>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</si>
  <si>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</si>
  <si>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</si>
  <si>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</si>
  <si>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</si>
  <si>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</si>
  <si>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</si>
  <si>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</si>
  <si>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</si>
  <si>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</si>
  <si>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</si>
  <si>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</si>
  <si>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</si>
  <si>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</si>
  <si>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</si>
  <si>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</si>
  <si>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</si>
  <si>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</si>
  <si>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</si>
  <si>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</si>
  <si>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</si>
  <si>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</si>
  <si>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</si>
  <si>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</si>
  <si>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</si>
  <si>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</si>
  <si>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</si>
  <si>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</si>
  <si>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</si>
  <si>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</si>
  <si>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</si>
  <si>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</si>
  <si>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</si>
  <si>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</si>
  <si>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</si>
  <si>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</si>
  <si>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</si>
  <si>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</si>
  <si>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シートについて</t>
    <phoneticPr fontId="1"/>
  </si>
  <si>
    <t>設計シート</t>
    <rPh sb="0" eb="2">
      <t>セッケイ</t>
    </rPh>
    <phoneticPr fontId="1"/>
  </si>
  <si>
    <t>このシートです。</t>
    <phoneticPr fontId="1"/>
  </si>
  <si>
    <t>要件、各シートの仕様を記載。</t>
    <rPh sb="0" eb="2">
      <t>ヨウケン</t>
    </rPh>
    <rPh sb="3" eb="4">
      <t>カク</t>
    </rPh>
    <rPh sb="8" eb="10">
      <t>シヨウ</t>
    </rPh>
    <rPh sb="11" eb="13">
      <t>キサイ</t>
    </rPh>
    <phoneticPr fontId="1"/>
  </si>
  <si>
    <t>商品台帳</t>
    <rPh sb="0" eb="2">
      <t>ショウヒン</t>
    </rPh>
    <rPh sb="2" eb="4">
      <t>ダイチョウ</t>
    </rPh>
    <phoneticPr fontId="1"/>
  </si>
  <si>
    <t>商品の情報を入力する。</t>
    <rPh sb="0" eb="2">
      <t>ショウヒン</t>
    </rPh>
    <rPh sb="3" eb="5">
      <t>ジョウホウ</t>
    </rPh>
    <rPh sb="6" eb="8">
      <t>ニュウリョク</t>
    </rPh>
    <phoneticPr fontId="1"/>
  </si>
  <si>
    <t>印刷シート</t>
    <rPh sb="0" eb="2">
      <t>インサツ</t>
    </rPh>
    <phoneticPr fontId="1"/>
  </si>
  <si>
    <t>JANコードに値を入力すると商品台帳の情報が転記される。</t>
    <rPh sb="7" eb="8">
      <t>アタイ</t>
    </rPh>
    <rPh sb="9" eb="11">
      <t>ニュウリョク</t>
    </rPh>
    <rPh sb="14" eb="16">
      <t>ショウヒン</t>
    </rPh>
    <rPh sb="16" eb="18">
      <t>ダイチョウ</t>
    </rPh>
    <rPh sb="19" eb="21">
      <t>ジョウホウ</t>
    </rPh>
    <rPh sb="22" eb="24">
      <t>テンキ</t>
    </rPh>
    <phoneticPr fontId="1"/>
  </si>
  <si>
    <t>緑色に塗布したところは式などが入っているので、触らないこと。</t>
    <rPh sb="0" eb="2">
      <t>ミドリイロ</t>
    </rPh>
    <rPh sb="3" eb="5">
      <t>トフ</t>
    </rPh>
    <rPh sb="11" eb="12">
      <t>シキ</t>
    </rPh>
    <rPh sb="15" eb="16">
      <t>ハイ</t>
    </rPh>
    <rPh sb="23" eb="24">
      <t>サワ</t>
    </rPh>
    <phoneticPr fontId="1"/>
  </si>
  <si>
    <t>印刷シートに入力された情報が転記される。</t>
    <rPh sb="0" eb="2">
      <t>インサツ</t>
    </rPh>
    <rPh sb="6" eb="8">
      <t>ニュウリョク</t>
    </rPh>
    <rPh sb="11" eb="13">
      <t>ジョウホウ</t>
    </rPh>
    <rPh sb="14" eb="16">
      <t>テンキ</t>
    </rPh>
    <phoneticPr fontId="1"/>
  </si>
  <si>
    <t>枚数：</t>
    <rPh sb="0" eb="2">
      <t>マイスウ</t>
    </rPh>
    <phoneticPr fontId="1"/>
  </si>
  <si>
    <t>用紙サイズ：</t>
    <rPh sb="0" eb="2">
      <t>ヨウシ</t>
    </rPh>
    <phoneticPr fontId="1"/>
  </si>
  <si>
    <t>A4 縦の用紙</t>
    <phoneticPr fontId="1"/>
  </si>
  <si>
    <t>余白：</t>
    <rPh sb="0" eb="2">
      <t>ヨハク</t>
    </rPh>
    <phoneticPr fontId="1"/>
  </si>
  <si>
    <t>上下11mm、左右14mm</t>
    <phoneticPr fontId="1"/>
  </si>
  <si>
    <t>1枚のサイズ：</t>
    <rPh sb="1" eb="2">
      <t>マイ</t>
    </rPh>
    <phoneticPr fontId="1"/>
  </si>
  <si>
    <t>横2 縦5 の10枚</t>
    <rPh sb="0" eb="1">
      <t>ヨコ</t>
    </rPh>
    <rPh sb="3" eb="4">
      <t>タテ</t>
    </rPh>
    <rPh sb="9" eb="10">
      <t>マイ</t>
    </rPh>
    <phoneticPr fontId="1"/>
  </si>
  <si>
    <t>JAN8とJAN13に対応</t>
    <rPh sb="11" eb="13">
      <t>タイオウ</t>
    </rPh>
    <phoneticPr fontId="1"/>
  </si>
  <si>
    <t>バーコード</t>
    <phoneticPr fontId="1"/>
  </si>
  <si>
    <t>開始位置</t>
    <rPh sb="0" eb="2">
      <t>カイシ</t>
    </rPh>
    <rPh sb="2" eb="4">
      <t>イチ</t>
    </rPh>
    <phoneticPr fontId="1"/>
  </si>
  <si>
    <t>キャッチコピー</t>
    <phoneticPr fontId="1"/>
  </si>
  <si>
    <t>商品名</t>
    <rPh sb="0" eb="3">
      <t>ショウヒンメイ</t>
    </rPh>
    <phoneticPr fontId="1"/>
  </si>
  <si>
    <t>メーカー名</t>
    <rPh sb="4" eb="5">
      <t>メイ</t>
    </rPh>
    <phoneticPr fontId="1"/>
  </si>
  <si>
    <t>設定項目</t>
    <rPh sb="0" eb="2">
      <t>セッテイ</t>
    </rPh>
    <rPh sb="2" eb="4">
      <t>コウモク</t>
    </rPh>
    <phoneticPr fontId="1"/>
  </si>
  <si>
    <t>値</t>
    <rPh sb="0" eb="1">
      <t>アタイ</t>
    </rPh>
    <phoneticPr fontId="1"/>
  </si>
  <si>
    <t>横 2＊17、縦 14.25＊12</t>
    <phoneticPr fontId="1"/>
  </si>
  <si>
    <t>B2</t>
    <phoneticPr fontId="1"/>
  </si>
  <si>
    <t>式</t>
    <rPh sb="0" eb="1">
      <t>シキ</t>
    </rPh>
    <phoneticPr fontId="1"/>
  </si>
  <si>
    <t>=印刷シート!$O{index}</t>
    <phoneticPr fontId="1"/>
  </si>
  <si>
    <t>B5</t>
    <phoneticPr fontId="1"/>
  </si>
  <si>
    <t>=印刷シート!$D{index}</t>
    <phoneticPr fontId="1"/>
  </si>
  <si>
    <t>B6</t>
    <phoneticPr fontId="1"/>
  </si>
  <si>
    <t>=印刷シート!$C{index}</t>
    <phoneticPr fontId="1"/>
  </si>
  <si>
    <t>規格</t>
    <rPh sb="0" eb="2">
      <t>キカク</t>
    </rPh>
    <phoneticPr fontId="1"/>
  </si>
  <si>
    <t>B7</t>
    <phoneticPr fontId="1"/>
  </si>
  <si>
    <t>="規格"</t>
    <rPh sb="2" eb="4">
      <t>キカク</t>
    </rPh>
    <phoneticPr fontId="1"/>
  </si>
  <si>
    <t>B8</t>
    <phoneticPr fontId="1"/>
  </si>
  <si>
    <t>参考価格</t>
    <rPh sb="0" eb="2">
      <t>サンコウ</t>
    </rPh>
    <rPh sb="2" eb="4">
      <t>カカク</t>
    </rPh>
    <phoneticPr fontId="1"/>
  </si>
  <si>
    <t>="参考価格"</t>
    <rPh sb="2" eb="4">
      <t>サンコウ</t>
    </rPh>
    <rPh sb="4" eb="6">
      <t>カカク</t>
    </rPh>
    <phoneticPr fontId="1"/>
  </si>
  <si>
    <t>規格の値</t>
    <rPh sb="0" eb="2">
      <t>キカク</t>
    </rPh>
    <rPh sb="3" eb="4">
      <t>アタイ</t>
    </rPh>
    <phoneticPr fontId="1"/>
  </si>
  <si>
    <t>参考価格の値</t>
    <rPh sb="0" eb="2">
      <t>サンコウ</t>
    </rPh>
    <rPh sb="2" eb="4">
      <t>カカク</t>
    </rPh>
    <rPh sb="5" eb="6">
      <t>アタイ</t>
    </rPh>
    <phoneticPr fontId="1"/>
  </si>
  <si>
    <t>H7</t>
    <phoneticPr fontId="1"/>
  </si>
  <si>
    <t>H8</t>
    <phoneticPr fontId="1"/>
  </si>
  <si>
    <t>価格</t>
    <rPh sb="0" eb="2">
      <t>カカク</t>
    </rPh>
    <phoneticPr fontId="1"/>
  </si>
  <si>
    <t>=印刷シート!$G{index} &amp; 印刷シート!$H{index}</t>
    <phoneticPr fontId="1"/>
  </si>
  <si>
    <t>=印刷シート!$I{index} &amp; "円"</t>
    <phoneticPr fontId="1"/>
  </si>
  <si>
    <t>=印刷シート!$K{index}</t>
    <phoneticPr fontId="1"/>
  </si>
  <si>
    <t>価格単位</t>
    <rPh sb="0" eb="2">
      <t>カカク</t>
    </rPh>
    <rPh sb="2" eb="4">
      <t>タンイ</t>
    </rPh>
    <phoneticPr fontId="1"/>
  </si>
  <si>
    <t>O11</t>
    <phoneticPr fontId="1"/>
  </si>
  <si>
    <t>="円＋税"</t>
    <rPh sb="2" eb="3">
      <t>エン</t>
    </rPh>
    <rPh sb="4" eb="5">
      <t>ゼイ</t>
    </rPh>
    <phoneticPr fontId="1"/>
  </si>
  <si>
    <t>POPレイアウト作成</t>
    <rPh sb="8" eb="10">
      <t>サクセイ</t>
    </rPh>
    <phoneticPr fontId="1"/>
  </si>
  <si>
    <t>POP設定</t>
    <rPh sb="3" eb="5">
      <t>セッテイ</t>
    </rPh>
    <phoneticPr fontId="1"/>
  </si>
  <si>
    <t>対象シート名</t>
    <rPh sb="0" eb="2">
      <t>タイショウ</t>
    </rPh>
    <rPh sb="5" eb="6">
      <t>メイ</t>
    </rPh>
    <phoneticPr fontId="1"/>
  </si>
  <si>
    <t>POP</t>
    <phoneticPr fontId="1"/>
  </si>
  <si>
    <t>ラベル設定</t>
    <rPh sb="3" eb="5">
      <t>セッテイ</t>
    </rPh>
    <phoneticPr fontId="1"/>
  </si>
  <si>
    <t>ラベル名</t>
    <rPh sb="3" eb="4">
      <t>メイ</t>
    </rPh>
    <phoneticPr fontId="1"/>
  </si>
  <si>
    <t>L9</t>
    <phoneticPr fontId="1"/>
  </si>
  <si>
    <t>バーコード</t>
    <phoneticPr fontId="1"/>
  </si>
  <si>
    <t>B9</t>
    <phoneticPr fontId="1"/>
  </si>
  <si>
    <t>=IF(LEN(印刷シート!$B{index})&gt;=7, Jan(印刷シート!$B{index}), "")</t>
    <phoneticPr fontId="1"/>
  </si>
  <si>
    <t>説明</t>
    <rPh sb="0" eb="2">
      <t>セツメイ</t>
    </rPh>
    <phoneticPr fontId="1"/>
  </si>
  <si>
    <t>POP大きさ横マス</t>
    <rPh sb="3" eb="4">
      <t>オオ</t>
    </rPh>
    <rPh sb="6" eb="7">
      <t>ヨコ</t>
    </rPh>
    <phoneticPr fontId="1"/>
  </si>
  <si>
    <t>POP大きさ縦マス</t>
    <rPh sb="3" eb="4">
      <t>オオ</t>
    </rPh>
    <rPh sb="6" eb="7">
      <t>タテ</t>
    </rPh>
    <phoneticPr fontId="1"/>
  </si>
  <si>
    <t>POP横枚数</t>
    <rPh sb="3" eb="4">
      <t>ヨコ</t>
    </rPh>
    <rPh sb="4" eb="6">
      <t>マイスウ</t>
    </rPh>
    <phoneticPr fontId="1"/>
  </si>
  <si>
    <t>POP縦枚数</t>
    <rPh sb="3" eb="4">
      <t>タテ</t>
    </rPh>
    <rPh sb="4" eb="6">
      <t>マイスウ</t>
    </rPh>
    <phoneticPr fontId="1"/>
  </si>
  <si>
    <t>POPの横はいくつのセル（マス）か？</t>
    <rPh sb="4" eb="5">
      <t>ヨコ</t>
    </rPh>
    <phoneticPr fontId="1"/>
  </si>
  <si>
    <t>POPの縦はいくつのセル（マス）か？</t>
    <rPh sb="4" eb="5">
      <t>タテ</t>
    </rPh>
    <phoneticPr fontId="1"/>
  </si>
  <si>
    <t>POPは横に何列あるか？</t>
    <rPh sb="4" eb="5">
      <t>ヨコ</t>
    </rPh>
    <rPh sb="6" eb="8">
      <t>ナンレツ</t>
    </rPh>
    <phoneticPr fontId="1"/>
  </si>
  <si>
    <t>POPは縦に何行あるか？</t>
    <rPh sb="4" eb="5">
      <t>タテ</t>
    </rPh>
    <rPh sb="6" eb="8">
      <t>ナンギョウ</t>
    </rPh>
    <phoneticPr fontId="1"/>
  </si>
</sst>
</file>

<file path=xl/styles.xml><?xml version="1.0" encoding="utf-8"?>
<styleSheet xmlns="http://schemas.openxmlformats.org/spreadsheetml/2006/main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メイリオ"/>
      <family val="3"/>
      <charset val="128"/>
    </font>
    <font>
      <sz val="14"/>
      <color theme="1"/>
      <name val="メイリオ"/>
      <family val="3"/>
      <charset val="128"/>
    </font>
    <font>
      <sz val="36"/>
      <color theme="1"/>
      <name val="ジャンコードにこたん"/>
      <family val="3"/>
      <charset val="128"/>
    </font>
    <font>
      <sz val="16"/>
      <color theme="1"/>
      <name val="メイリオ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49" fontId="2" fillId="2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49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49" fontId="3" fillId="0" borderId="0" xfId="0" applyNumberFormat="1" applyFont="1">
      <alignment vertical="center"/>
    </xf>
    <xf numFmtId="0" fontId="2" fillId="3" borderId="1" xfId="0" applyNumberFormat="1" applyFont="1" applyFill="1" applyBorder="1">
      <alignment vertical="center"/>
    </xf>
    <xf numFmtId="0" fontId="2" fillId="0" borderId="2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0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49" fontId="2" fillId="3" borderId="1" xfId="0" applyNumberFormat="1" applyFont="1" applyFill="1" applyBorder="1">
      <alignment vertical="center"/>
    </xf>
    <xf numFmtId="0" fontId="4" fillId="0" borderId="5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49" fontId="2" fillId="4" borderId="1" xfId="0" applyNumberFormat="1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0" xfId="0" applyFont="1" applyBorder="1" applyAlignment="1"/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H23"/>
  <sheetViews>
    <sheetView workbookViewId="0"/>
  </sheetViews>
  <sheetFormatPr defaultColWidth="3.625" defaultRowHeight="14.25"/>
  <cols>
    <col min="1" max="16384" width="3.625" style="1"/>
  </cols>
  <sheetData>
    <row r="2" spans="2:4">
      <c r="B2" s="1" t="s">
        <v>118</v>
      </c>
    </row>
    <row r="3" spans="2:4">
      <c r="C3" s="1" t="s">
        <v>119</v>
      </c>
    </row>
    <row r="4" spans="2:4">
      <c r="D4" s="1" t="s">
        <v>120</v>
      </c>
    </row>
    <row r="5" spans="2:4">
      <c r="D5" s="1" t="s">
        <v>121</v>
      </c>
    </row>
    <row r="7" spans="2:4">
      <c r="C7" s="1" t="s">
        <v>122</v>
      </c>
    </row>
    <row r="8" spans="2:4">
      <c r="D8" s="1" t="s">
        <v>123</v>
      </c>
    </row>
    <row r="10" spans="2:4">
      <c r="C10" s="1" t="s">
        <v>124</v>
      </c>
    </row>
    <row r="11" spans="2:4">
      <c r="D11" s="1" t="s">
        <v>125</v>
      </c>
    </row>
    <row r="12" spans="2:4">
      <c r="D12" s="1" t="s">
        <v>126</v>
      </c>
    </row>
    <row r="14" spans="2:4">
      <c r="C14" s="1" t="s">
        <v>16</v>
      </c>
    </row>
    <row r="15" spans="2:4">
      <c r="D15" s="1" t="s">
        <v>127</v>
      </c>
    </row>
    <row r="16" spans="2:4">
      <c r="D16" s="1" t="s">
        <v>16</v>
      </c>
    </row>
    <row r="17" spans="4:8">
      <c r="E17" s="1" t="s">
        <v>129</v>
      </c>
      <c r="H17" s="1" t="s">
        <v>130</v>
      </c>
    </row>
    <row r="18" spans="4:8">
      <c r="E18" s="1" t="s">
        <v>131</v>
      </c>
      <c r="H18" s="1" t="s">
        <v>132</v>
      </c>
    </row>
    <row r="19" spans="4:8">
      <c r="E19" s="1" t="s">
        <v>128</v>
      </c>
      <c r="H19" s="1" t="s">
        <v>134</v>
      </c>
    </row>
    <row r="20" spans="4:8">
      <c r="E20" s="1" t="s">
        <v>133</v>
      </c>
      <c r="H20" s="1" t="s">
        <v>143</v>
      </c>
    </row>
    <row r="22" spans="4:8">
      <c r="D22" s="1" t="s">
        <v>136</v>
      </c>
    </row>
    <row r="23" spans="4:8">
      <c r="E23" s="1" t="s">
        <v>135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02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4.25"/>
  <cols>
    <col min="1" max="5" width="12.5" style="2" customWidth="1"/>
    <col min="6" max="14" width="12.5" style="1" customWidth="1"/>
    <col min="15" max="16384" width="9" style="1"/>
  </cols>
  <sheetData>
    <row r="1" spans="1:14" ht="22.5">
      <c r="A1" s="7" t="s">
        <v>14</v>
      </c>
    </row>
    <row r="3" spans="1:14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4" t="s">
        <v>8</v>
      </c>
      <c r="G3" s="4" t="s">
        <v>5</v>
      </c>
      <c r="H3" s="4" t="s">
        <v>6</v>
      </c>
      <c r="I3" s="4" t="s">
        <v>7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</row>
    <row r="4" spans="1:14">
      <c r="A4" s="5"/>
      <c r="B4" s="5"/>
      <c r="C4" s="5"/>
      <c r="D4" s="5"/>
      <c r="E4" s="5"/>
      <c r="F4" s="6"/>
      <c r="G4" s="6"/>
      <c r="H4" s="6"/>
      <c r="I4" s="6"/>
      <c r="J4" s="6"/>
      <c r="K4" s="6"/>
      <c r="L4" s="6"/>
      <c r="M4" s="6"/>
      <c r="N4" s="6"/>
    </row>
    <row r="5" spans="1:14">
      <c r="A5" s="5"/>
      <c r="B5" s="5"/>
      <c r="C5" s="5"/>
      <c r="D5" s="5"/>
      <c r="E5" s="5"/>
      <c r="F5" s="6"/>
      <c r="G5" s="6"/>
      <c r="H5" s="6"/>
      <c r="I5" s="6"/>
      <c r="J5" s="6"/>
      <c r="K5" s="6"/>
      <c r="L5" s="6"/>
      <c r="M5" s="6"/>
      <c r="N5" s="6"/>
    </row>
    <row r="6" spans="1:14">
      <c r="A6" s="5"/>
      <c r="B6" s="5"/>
      <c r="C6" s="5"/>
      <c r="D6" s="5"/>
      <c r="E6" s="5"/>
      <c r="F6" s="6"/>
      <c r="G6" s="6"/>
      <c r="H6" s="6"/>
      <c r="I6" s="6"/>
      <c r="J6" s="6"/>
      <c r="K6" s="6"/>
      <c r="L6" s="6"/>
      <c r="M6" s="6"/>
      <c r="N6" s="6"/>
    </row>
    <row r="7" spans="1:14">
      <c r="A7" s="5"/>
      <c r="B7" s="5"/>
      <c r="C7" s="5"/>
      <c r="D7" s="5"/>
      <c r="E7" s="5"/>
      <c r="F7" s="6"/>
      <c r="G7" s="6"/>
      <c r="H7" s="6"/>
      <c r="I7" s="6"/>
      <c r="J7" s="6"/>
      <c r="K7" s="6"/>
      <c r="L7" s="6"/>
      <c r="M7" s="6"/>
      <c r="N7" s="6"/>
    </row>
    <row r="8" spans="1:14">
      <c r="A8" s="5"/>
      <c r="B8" s="5"/>
      <c r="C8" s="5"/>
      <c r="D8" s="5"/>
      <c r="E8" s="5"/>
      <c r="F8" s="6"/>
      <c r="G8" s="6"/>
      <c r="H8" s="6"/>
      <c r="I8" s="6"/>
      <c r="J8" s="6"/>
      <c r="K8" s="6"/>
      <c r="L8" s="6"/>
      <c r="M8" s="6"/>
      <c r="N8" s="6"/>
    </row>
    <row r="9" spans="1:14">
      <c r="A9" s="5"/>
      <c r="B9" s="5"/>
      <c r="C9" s="5"/>
      <c r="D9" s="5"/>
      <c r="E9" s="5"/>
      <c r="F9" s="6"/>
      <c r="G9" s="6"/>
      <c r="H9" s="6"/>
      <c r="I9" s="6"/>
      <c r="J9" s="6"/>
      <c r="K9" s="6"/>
      <c r="L9" s="6"/>
      <c r="M9" s="6"/>
      <c r="N9" s="6"/>
    </row>
    <row r="10" spans="1:14">
      <c r="A10" s="5"/>
      <c r="B10" s="5"/>
      <c r="C10" s="5"/>
      <c r="D10" s="5"/>
      <c r="E10" s="5"/>
      <c r="F10" s="6"/>
      <c r="G10" s="6"/>
      <c r="H10" s="6"/>
      <c r="I10" s="6"/>
      <c r="J10" s="6"/>
      <c r="K10" s="6"/>
      <c r="L10" s="6"/>
      <c r="M10" s="6"/>
      <c r="N10" s="6"/>
    </row>
    <row r="11" spans="1:14">
      <c r="A11" s="5"/>
      <c r="B11" s="5"/>
      <c r="C11" s="5"/>
      <c r="D11" s="5"/>
      <c r="E11" s="5"/>
      <c r="F11" s="6"/>
      <c r="G11" s="6"/>
      <c r="H11" s="6"/>
      <c r="I11" s="6"/>
      <c r="J11" s="6"/>
      <c r="K11" s="6"/>
      <c r="L11" s="6"/>
      <c r="M11" s="6"/>
      <c r="N11" s="6"/>
    </row>
    <row r="12" spans="1:14">
      <c r="A12" s="5"/>
      <c r="B12" s="5"/>
      <c r="C12" s="5"/>
      <c r="D12" s="5"/>
      <c r="E12" s="5"/>
      <c r="F12" s="6"/>
      <c r="G12" s="6"/>
      <c r="H12" s="6"/>
      <c r="I12" s="6"/>
      <c r="J12" s="6"/>
      <c r="K12" s="6"/>
      <c r="L12" s="6"/>
      <c r="M12" s="6"/>
      <c r="N12" s="6"/>
    </row>
    <row r="13" spans="1:14">
      <c r="A13" s="5"/>
      <c r="B13" s="5"/>
      <c r="C13" s="5"/>
      <c r="D13" s="5"/>
      <c r="E13" s="5"/>
      <c r="F13" s="6"/>
      <c r="G13" s="6"/>
      <c r="H13" s="6"/>
      <c r="I13" s="6"/>
      <c r="J13" s="6"/>
      <c r="K13" s="6"/>
      <c r="L13" s="6"/>
      <c r="M13" s="6"/>
      <c r="N13" s="6"/>
    </row>
    <row r="14" spans="1:14">
      <c r="A14" s="5"/>
      <c r="B14" s="5"/>
      <c r="C14" s="5"/>
      <c r="D14" s="5"/>
      <c r="E14" s="5"/>
      <c r="F14" s="6"/>
      <c r="G14" s="6"/>
      <c r="H14" s="6"/>
      <c r="I14" s="6"/>
      <c r="J14" s="6"/>
      <c r="K14" s="6"/>
      <c r="L14" s="6"/>
      <c r="M14" s="6"/>
      <c r="N14" s="6"/>
    </row>
    <row r="15" spans="1:14">
      <c r="A15" s="5"/>
      <c r="B15" s="5"/>
      <c r="C15" s="5"/>
      <c r="D15" s="5"/>
      <c r="E15" s="5"/>
      <c r="F15" s="6"/>
      <c r="G15" s="6"/>
      <c r="H15" s="6"/>
      <c r="I15" s="6"/>
      <c r="J15" s="6"/>
      <c r="K15" s="6"/>
      <c r="L15" s="6"/>
      <c r="M15" s="6"/>
      <c r="N15" s="6"/>
    </row>
    <row r="16" spans="1:14">
      <c r="A16" s="5"/>
      <c r="B16" s="5"/>
      <c r="C16" s="5"/>
      <c r="D16" s="5"/>
      <c r="E16" s="5"/>
      <c r="F16" s="6"/>
      <c r="G16" s="6"/>
      <c r="H16" s="6"/>
      <c r="I16" s="6"/>
      <c r="J16" s="6"/>
      <c r="K16" s="6"/>
      <c r="L16" s="6"/>
      <c r="M16" s="6"/>
      <c r="N16" s="6"/>
    </row>
    <row r="17" spans="1:14">
      <c r="A17" s="5"/>
      <c r="B17" s="5"/>
      <c r="C17" s="5"/>
      <c r="D17" s="5"/>
      <c r="E17" s="5"/>
      <c r="F17" s="6"/>
      <c r="G17" s="6"/>
      <c r="H17" s="6"/>
      <c r="I17" s="6"/>
      <c r="J17" s="6"/>
      <c r="K17" s="6"/>
      <c r="L17" s="6"/>
      <c r="M17" s="6"/>
      <c r="N17" s="6"/>
    </row>
    <row r="18" spans="1:14">
      <c r="A18" s="5"/>
      <c r="B18" s="5"/>
      <c r="C18" s="5"/>
      <c r="D18" s="5"/>
      <c r="E18" s="5"/>
      <c r="F18" s="6"/>
      <c r="G18" s="6"/>
      <c r="H18" s="6"/>
      <c r="I18" s="6"/>
      <c r="J18" s="6"/>
      <c r="K18" s="6"/>
      <c r="L18" s="6"/>
      <c r="M18" s="6"/>
      <c r="N18" s="6"/>
    </row>
    <row r="19" spans="1:14">
      <c r="A19" s="5"/>
      <c r="B19" s="5"/>
      <c r="C19" s="5"/>
      <c r="D19" s="5"/>
      <c r="E19" s="5"/>
      <c r="F19" s="6"/>
      <c r="G19" s="6"/>
      <c r="H19" s="6"/>
      <c r="I19" s="6"/>
      <c r="J19" s="6"/>
      <c r="K19" s="6"/>
      <c r="L19" s="6"/>
      <c r="M19" s="6"/>
      <c r="N19" s="6"/>
    </row>
    <row r="20" spans="1:14">
      <c r="A20" s="5"/>
      <c r="B20" s="5"/>
      <c r="C20" s="5"/>
      <c r="D20" s="5"/>
      <c r="E20" s="5"/>
      <c r="F20" s="6"/>
      <c r="G20" s="6"/>
      <c r="H20" s="6"/>
      <c r="I20" s="6"/>
      <c r="J20" s="6"/>
      <c r="K20" s="6"/>
      <c r="L20" s="6"/>
      <c r="M20" s="6"/>
      <c r="N20" s="6"/>
    </row>
    <row r="21" spans="1:14">
      <c r="A21" s="5"/>
      <c r="B21" s="5"/>
      <c r="C21" s="5"/>
      <c r="D21" s="5"/>
      <c r="E21" s="5"/>
      <c r="F21" s="6"/>
      <c r="G21" s="6"/>
      <c r="H21" s="6"/>
      <c r="I21" s="6"/>
      <c r="J21" s="6"/>
      <c r="K21" s="6"/>
      <c r="L21" s="6"/>
      <c r="M21" s="6"/>
      <c r="N21" s="6"/>
    </row>
    <row r="22" spans="1:14">
      <c r="A22" s="5"/>
      <c r="B22" s="5"/>
      <c r="C22" s="5"/>
      <c r="D22" s="5"/>
      <c r="E22" s="5"/>
      <c r="F22" s="6"/>
      <c r="G22" s="6"/>
      <c r="H22" s="6"/>
      <c r="I22" s="6"/>
      <c r="J22" s="6"/>
      <c r="K22" s="6"/>
      <c r="L22" s="6"/>
      <c r="M22" s="6"/>
      <c r="N22" s="6"/>
    </row>
    <row r="23" spans="1:14">
      <c r="A23" s="5"/>
      <c r="B23" s="5"/>
      <c r="C23" s="5"/>
      <c r="D23" s="5"/>
      <c r="E23" s="5"/>
      <c r="F23" s="6"/>
      <c r="G23" s="6"/>
      <c r="H23" s="6"/>
      <c r="I23" s="6"/>
      <c r="J23" s="6"/>
      <c r="K23" s="6"/>
      <c r="L23" s="6"/>
      <c r="M23" s="6"/>
      <c r="N23" s="6"/>
    </row>
    <row r="24" spans="1:14">
      <c r="A24" s="5"/>
      <c r="B24" s="5"/>
      <c r="C24" s="5"/>
      <c r="D24" s="5"/>
      <c r="E24" s="5"/>
      <c r="F24" s="6"/>
      <c r="G24" s="6"/>
      <c r="H24" s="6"/>
      <c r="I24" s="6"/>
      <c r="J24" s="6"/>
      <c r="K24" s="6"/>
      <c r="L24" s="6"/>
      <c r="M24" s="6"/>
      <c r="N24" s="6"/>
    </row>
    <row r="25" spans="1:14">
      <c r="A25" s="5"/>
      <c r="B25" s="5"/>
      <c r="C25" s="5"/>
      <c r="D25" s="5"/>
      <c r="E25" s="5"/>
      <c r="F25" s="6"/>
      <c r="G25" s="6"/>
      <c r="H25" s="6"/>
      <c r="I25" s="6"/>
      <c r="J25" s="6"/>
      <c r="K25" s="6"/>
      <c r="L25" s="6"/>
      <c r="M25" s="6"/>
      <c r="N25" s="6"/>
    </row>
    <row r="26" spans="1:14">
      <c r="A26" s="5"/>
      <c r="B26" s="5"/>
      <c r="C26" s="5"/>
      <c r="D26" s="5"/>
      <c r="E26" s="5"/>
      <c r="F26" s="6"/>
      <c r="G26" s="6"/>
      <c r="H26" s="6"/>
      <c r="I26" s="6"/>
      <c r="J26" s="6"/>
      <c r="K26" s="6"/>
      <c r="L26" s="6"/>
      <c r="M26" s="6"/>
      <c r="N26" s="6"/>
    </row>
    <row r="27" spans="1:14">
      <c r="A27" s="5"/>
      <c r="B27" s="5"/>
      <c r="C27" s="5"/>
      <c r="D27" s="5"/>
      <c r="E27" s="5"/>
      <c r="F27" s="6"/>
      <c r="G27" s="6"/>
      <c r="H27" s="6"/>
      <c r="I27" s="6"/>
      <c r="J27" s="6"/>
      <c r="K27" s="6"/>
      <c r="L27" s="6"/>
      <c r="M27" s="6"/>
      <c r="N27" s="6"/>
    </row>
    <row r="28" spans="1:14">
      <c r="A28" s="5"/>
      <c r="B28" s="5"/>
      <c r="C28" s="5"/>
      <c r="D28" s="5"/>
      <c r="E28" s="5"/>
      <c r="F28" s="6"/>
      <c r="G28" s="6"/>
      <c r="H28" s="6"/>
      <c r="I28" s="6"/>
      <c r="J28" s="6"/>
      <c r="K28" s="6"/>
      <c r="L28" s="6"/>
      <c r="M28" s="6"/>
      <c r="N28" s="6"/>
    </row>
    <row r="29" spans="1:14">
      <c r="A29" s="5"/>
      <c r="B29" s="5"/>
      <c r="C29" s="5"/>
      <c r="D29" s="5"/>
      <c r="E29" s="5"/>
      <c r="F29" s="6"/>
      <c r="G29" s="6"/>
      <c r="H29" s="6"/>
      <c r="I29" s="6"/>
      <c r="J29" s="6"/>
      <c r="K29" s="6"/>
      <c r="L29" s="6"/>
      <c r="M29" s="6"/>
      <c r="N29" s="6"/>
    </row>
    <row r="30" spans="1:14">
      <c r="A30" s="5"/>
      <c r="B30" s="5"/>
      <c r="C30" s="5"/>
      <c r="D30" s="5"/>
      <c r="E30" s="5"/>
      <c r="F30" s="6"/>
      <c r="G30" s="6"/>
      <c r="H30" s="6"/>
      <c r="I30" s="6"/>
      <c r="J30" s="6"/>
      <c r="K30" s="6"/>
      <c r="L30" s="6"/>
      <c r="M30" s="6"/>
      <c r="N30" s="6"/>
    </row>
    <row r="31" spans="1:14">
      <c r="A31" s="5"/>
      <c r="B31" s="5"/>
      <c r="C31" s="5"/>
      <c r="D31" s="5"/>
      <c r="E31" s="5"/>
      <c r="F31" s="6"/>
      <c r="G31" s="6"/>
      <c r="H31" s="6"/>
      <c r="I31" s="6"/>
      <c r="J31" s="6"/>
      <c r="K31" s="6"/>
      <c r="L31" s="6"/>
      <c r="M31" s="6"/>
      <c r="N31" s="6"/>
    </row>
    <row r="32" spans="1:14">
      <c r="A32" s="5"/>
      <c r="B32" s="5"/>
      <c r="C32" s="5"/>
      <c r="D32" s="5"/>
      <c r="E32" s="5"/>
      <c r="F32" s="6"/>
      <c r="G32" s="6"/>
      <c r="H32" s="6"/>
      <c r="I32" s="6"/>
      <c r="J32" s="6"/>
      <c r="K32" s="6"/>
      <c r="L32" s="6"/>
      <c r="M32" s="6"/>
      <c r="N32" s="6"/>
    </row>
    <row r="33" spans="1:14">
      <c r="A33" s="5"/>
      <c r="B33" s="5"/>
      <c r="C33" s="5"/>
      <c r="D33" s="5"/>
      <c r="E33" s="5"/>
      <c r="F33" s="6"/>
      <c r="G33" s="6"/>
      <c r="H33" s="6"/>
      <c r="I33" s="6"/>
      <c r="J33" s="6"/>
      <c r="K33" s="6"/>
      <c r="L33" s="6"/>
      <c r="M33" s="6"/>
      <c r="N33" s="6"/>
    </row>
    <row r="34" spans="1:14">
      <c r="A34" s="5"/>
      <c r="B34" s="5"/>
      <c r="C34" s="5"/>
      <c r="D34" s="5"/>
      <c r="E34" s="5"/>
      <c r="F34" s="6"/>
      <c r="G34" s="6"/>
      <c r="H34" s="6"/>
      <c r="I34" s="6"/>
      <c r="J34" s="6"/>
      <c r="K34" s="6"/>
      <c r="L34" s="6"/>
      <c r="M34" s="6"/>
      <c r="N34" s="6"/>
    </row>
    <row r="35" spans="1:14">
      <c r="A35" s="5"/>
      <c r="B35" s="5"/>
      <c r="C35" s="5"/>
      <c r="D35" s="5"/>
      <c r="E35" s="5"/>
      <c r="F35" s="6"/>
      <c r="G35" s="6"/>
      <c r="H35" s="6"/>
      <c r="I35" s="6"/>
      <c r="J35" s="6"/>
      <c r="K35" s="6"/>
      <c r="L35" s="6"/>
      <c r="M35" s="6"/>
      <c r="N35" s="6"/>
    </row>
    <row r="36" spans="1:14">
      <c r="A36" s="5"/>
      <c r="B36" s="5"/>
      <c r="C36" s="5"/>
      <c r="D36" s="5"/>
      <c r="E36" s="5"/>
      <c r="F36" s="6"/>
      <c r="G36" s="6"/>
      <c r="H36" s="6"/>
      <c r="I36" s="6"/>
      <c r="J36" s="6"/>
      <c r="K36" s="6"/>
      <c r="L36" s="6"/>
      <c r="M36" s="6"/>
      <c r="N36" s="6"/>
    </row>
    <row r="37" spans="1:14">
      <c r="A37" s="5"/>
      <c r="B37" s="5"/>
      <c r="C37" s="5"/>
      <c r="D37" s="5"/>
      <c r="E37" s="5"/>
      <c r="F37" s="6"/>
      <c r="G37" s="6"/>
      <c r="H37" s="6"/>
      <c r="I37" s="6"/>
      <c r="J37" s="6"/>
      <c r="K37" s="6"/>
      <c r="L37" s="6"/>
      <c r="M37" s="6"/>
      <c r="N37" s="6"/>
    </row>
    <row r="38" spans="1:14">
      <c r="A38" s="5"/>
      <c r="B38" s="5"/>
      <c r="C38" s="5"/>
      <c r="D38" s="5"/>
      <c r="E38" s="5"/>
      <c r="F38" s="6"/>
      <c r="G38" s="6"/>
      <c r="H38" s="6"/>
      <c r="I38" s="6"/>
      <c r="J38" s="6"/>
      <c r="K38" s="6"/>
      <c r="L38" s="6"/>
      <c r="M38" s="6"/>
      <c r="N38" s="6"/>
    </row>
    <row r="39" spans="1:14">
      <c r="A39" s="5"/>
      <c r="B39" s="5"/>
      <c r="C39" s="5"/>
      <c r="D39" s="5"/>
      <c r="E39" s="5"/>
      <c r="F39" s="6"/>
      <c r="G39" s="6"/>
      <c r="H39" s="6"/>
      <c r="I39" s="6"/>
      <c r="J39" s="6"/>
      <c r="K39" s="6"/>
      <c r="L39" s="6"/>
      <c r="M39" s="6"/>
      <c r="N39" s="6"/>
    </row>
    <row r="40" spans="1:14">
      <c r="A40" s="5"/>
      <c r="B40" s="5"/>
      <c r="C40" s="5"/>
      <c r="D40" s="5"/>
      <c r="E40" s="5"/>
      <c r="F40" s="6"/>
      <c r="G40" s="6"/>
      <c r="H40" s="6"/>
      <c r="I40" s="6"/>
      <c r="J40" s="6"/>
      <c r="K40" s="6"/>
      <c r="L40" s="6"/>
      <c r="M40" s="6"/>
      <c r="N40" s="6"/>
    </row>
    <row r="41" spans="1:14">
      <c r="A41" s="5"/>
      <c r="B41" s="5"/>
      <c r="C41" s="5"/>
      <c r="D41" s="5"/>
      <c r="E41" s="5"/>
      <c r="F41" s="6"/>
      <c r="G41" s="6"/>
      <c r="H41" s="6"/>
      <c r="I41" s="6"/>
      <c r="J41" s="6"/>
      <c r="K41" s="6"/>
      <c r="L41" s="6"/>
      <c r="M41" s="6"/>
      <c r="N41" s="6"/>
    </row>
    <row r="42" spans="1:14">
      <c r="A42" s="5"/>
      <c r="B42" s="5"/>
      <c r="C42" s="5"/>
      <c r="D42" s="5"/>
      <c r="E42" s="5"/>
      <c r="F42" s="6"/>
      <c r="G42" s="6"/>
      <c r="H42" s="6"/>
      <c r="I42" s="6"/>
      <c r="J42" s="6"/>
      <c r="K42" s="6"/>
      <c r="L42" s="6"/>
      <c r="M42" s="6"/>
      <c r="N42" s="6"/>
    </row>
    <row r="43" spans="1:14">
      <c r="A43" s="5"/>
      <c r="B43" s="5"/>
      <c r="C43" s="5"/>
      <c r="D43" s="5"/>
      <c r="E43" s="5"/>
      <c r="F43" s="6"/>
      <c r="G43" s="6"/>
      <c r="H43" s="6"/>
      <c r="I43" s="6"/>
      <c r="J43" s="6"/>
      <c r="K43" s="6"/>
      <c r="L43" s="6"/>
      <c r="M43" s="6"/>
      <c r="N43" s="6"/>
    </row>
    <row r="44" spans="1:14">
      <c r="A44" s="5"/>
      <c r="B44" s="5"/>
      <c r="C44" s="5"/>
      <c r="D44" s="5"/>
      <c r="E44" s="5"/>
      <c r="F44" s="6"/>
      <c r="G44" s="6"/>
      <c r="H44" s="6"/>
      <c r="I44" s="6"/>
      <c r="J44" s="6"/>
      <c r="K44" s="6"/>
      <c r="L44" s="6"/>
      <c r="M44" s="6"/>
      <c r="N44" s="6"/>
    </row>
    <row r="45" spans="1:14">
      <c r="A45" s="5"/>
      <c r="B45" s="5"/>
      <c r="C45" s="5"/>
      <c r="D45" s="5"/>
      <c r="E45" s="5"/>
      <c r="F45" s="6"/>
      <c r="G45" s="6"/>
      <c r="H45" s="6"/>
      <c r="I45" s="6"/>
      <c r="J45" s="6"/>
      <c r="K45" s="6"/>
      <c r="L45" s="6"/>
      <c r="M45" s="6"/>
      <c r="N45" s="6"/>
    </row>
    <row r="46" spans="1:14">
      <c r="A46" s="5"/>
      <c r="B46" s="5"/>
      <c r="C46" s="5"/>
      <c r="D46" s="5"/>
      <c r="E46" s="5"/>
      <c r="F46" s="6"/>
      <c r="G46" s="6"/>
      <c r="H46" s="6"/>
      <c r="I46" s="6"/>
      <c r="J46" s="6"/>
      <c r="K46" s="6"/>
      <c r="L46" s="6"/>
      <c r="M46" s="6"/>
      <c r="N46" s="6"/>
    </row>
    <row r="47" spans="1:14">
      <c r="A47" s="5"/>
      <c r="B47" s="5"/>
      <c r="C47" s="5"/>
      <c r="D47" s="5"/>
      <c r="E47" s="5"/>
      <c r="F47" s="6"/>
      <c r="G47" s="6"/>
      <c r="H47" s="6"/>
      <c r="I47" s="6"/>
      <c r="J47" s="6"/>
      <c r="K47" s="6"/>
      <c r="L47" s="6"/>
      <c r="M47" s="6"/>
      <c r="N47" s="6"/>
    </row>
    <row r="48" spans="1:14">
      <c r="A48" s="5"/>
      <c r="B48" s="5"/>
      <c r="C48" s="5"/>
      <c r="D48" s="5"/>
      <c r="E48" s="5"/>
      <c r="F48" s="6"/>
      <c r="G48" s="6"/>
      <c r="H48" s="6"/>
      <c r="I48" s="6"/>
      <c r="J48" s="6"/>
      <c r="K48" s="6"/>
      <c r="L48" s="6"/>
      <c r="M48" s="6"/>
      <c r="N48" s="6"/>
    </row>
    <row r="49" spans="1:14">
      <c r="A49" s="5"/>
      <c r="B49" s="5"/>
      <c r="C49" s="5"/>
      <c r="D49" s="5"/>
      <c r="E49" s="5"/>
      <c r="F49" s="6"/>
      <c r="G49" s="6"/>
      <c r="H49" s="6"/>
      <c r="I49" s="6"/>
      <c r="J49" s="6"/>
      <c r="K49" s="6"/>
      <c r="L49" s="6"/>
      <c r="M49" s="6"/>
      <c r="N49" s="6"/>
    </row>
    <row r="50" spans="1:14">
      <c r="A50" s="5"/>
      <c r="B50" s="5"/>
      <c r="C50" s="5"/>
      <c r="D50" s="5"/>
      <c r="E50" s="5"/>
      <c r="F50" s="6"/>
      <c r="G50" s="6"/>
      <c r="H50" s="6"/>
      <c r="I50" s="6"/>
      <c r="J50" s="6"/>
      <c r="K50" s="6"/>
      <c r="L50" s="6"/>
      <c r="M50" s="6"/>
      <c r="N50" s="6"/>
    </row>
    <row r="51" spans="1:14">
      <c r="A51" s="5"/>
      <c r="B51" s="5"/>
      <c r="C51" s="5"/>
      <c r="D51" s="5"/>
      <c r="E51" s="5"/>
      <c r="F51" s="6"/>
      <c r="G51" s="6"/>
      <c r="H51" s="6"/>
      <c r="I51" s="6"/>
      <c r="J51" s="6"/>
      <c r="K51" s="6"/>
      <c r="L51" s="6"/>
      <c r="M51" s="6"/>
      <c r="N51" s="6"/>
    </row>
    <row r="52" spans="1:14">
      <c r="A52" s="5"/>
      <c r="B52" s="5"/>
      <c r="C52" s="5"/>
      <c r="D52" s="5"/>
      <c r="E52" s="5"/>
      <c r="F52" s="6"/>
      <c r="G52" s="6"/>
      <c r="H52" s="6"/>
      <c r="I52" s="6"/>
      <c r="J52" s="6"/>
      <c r="K52" s="6"/>
      <c r="L52" s="6"/>
      <c r="M52" s="6"/>
      <c r="N52" s="6"/>
    </row>
    <row r="53" spans="1:14">
      <c r="A53" s="5"/>
      <c r="B53" s="5"/>
      <c r="C53" s="5"/>
      <c r="D53" s="5"/>
      <c r="E53" s="5"/>
      <c r="F53" s="6"/>
      <c r="G53" s="6"/>
      <c r="H53" s="6"/>
      <c r="I53" s="6"/>
      <c r="J53" s="6"/>
      <c r="K53" s="6"/>
      <c r="L53" s="6"/>
      <c r="M53" s="6"/>
      <c r="N53" s="6"/>
    </row>
    <row r="54" spans="1:14">
      <c r="A54" s="5"/>
      <c r="B54" s="5"/>
      <c r="C54" s="5"/>
      <c r="D54" s="5"/>
      <c r="E54" s="5"/>
      <c r="F54" s="6"/>
      <c r="G54" s="6"/>
      <c r="H54" s="6"/>
      <c r="I54" s="6"/>
      <c r="J54" s="6"/>
      <c r="K54" s="6"/>
      <c r="L54" s="6"/>
      <c r="M54" s="6"/>
      <c r="N54" s="6"/>
    </row>
    <row r="55" spans="1:14">
      <c r="A55" s="5"/>
      <c r="B55" s="5"/>
      <c r="C55" s="5"/>
      <c r="D55" s="5"/>
      <c r="E55" s="5"/>
      <c r="F55" s="6"/>
      <c r="G55" s="6"/>
      <c r="H55" s="6"/>
      <c r="I55" s="6"/>
      <c r="J55" s="6"/>
      <c r="K55" s="6"/>
      <c r="L55" s="6"/>
      <c r="M55" s="6"/>
      <c r="N55" s="6"/>
    </row>
    <row r="56" spans="1:14">
      <c r="A56" s="5"/>
      <c r="B56" s="5"/>
      <c r="C56" s="5"/>
      <c r="D56" s="5"/>
      <c r="E56" s="5"/>
      <c r="F56" s="6"/>
      <c r="G56" s="6"/>
      <c r="H56" s="6"/>
      <c r="I56" s="6"/>
      <c r="J56" s="6"/>
      <c r="K56" s="6"/>
      <c r="L56" s="6"/>
      <c r="M56" s="6"/>
      <c r="N56" s="6"/>
    </row>
    <row r="57" spans="1:14">
      <c r="A57" s="5"/>
      <c r="B57" s="5"/>
      <c r="C57" s="5"/>
      <c r="D57" s="5"/>
      <c r="E57" s="5"/>
      <c r="F57" s="6"/>
      <c r="G57" s="6"/>
      <c r="H57" s="6"/>
      <c r="I57" s="6"/>
      <c r="J57" s="6"/>
      <c r="K57" s="6"/>
      <c r="L57" s="6"/>
      <c r="M57" s="6"/>
      <c r="N57" s="6"/>
    </row>
    <row r="58" spans="1:14">
      <c r="A58" s="5"/>
      <c r="B58" s="5"/>
      <c r="C58" s="5"/>
      <c r="D58" s="5"/>
      <c r="E58" s="5"/>
      <c r="F58" s="6"/>
      <c r="G58" s="6"/>
      <c r="H58" s="6"/>
      <c r="I58" s="6"/>
      <c r="J58" s="6"/>
      <c r="K58" s="6"/>
      <c r="L58" s="6"/>
      <c r="M58" s="6"/>
      <c r="N58" s="6"/>
    </row>
    <row r="59" spans="1:14">
      <c r="A59" s="5"/>
      <c r="B59" s="5"/>
      <c r="C59" s="5"/>
      <c r="D59" s="5"/>
      <c r="E59" s="5"/>
      <c r="F59" s="6"/>
      <c r="G59" s="6"/>
      <c r="H59" s="6"/>
      <c r="I59" s="6"/>
      <c r="J59" s="6"/>
      <c r="K59" s="6"/>
      <c r="L59" s="6"/>
      <c r="M59" s="6"/>
      <c r="N59" s="6"/>
    </row>
    <row r="60" spans="1:14">
      <c r="A60" s="5"/>
      <c r="B60" s="5"/>
      <c r="C60" s="5"/>
      <c r="D60" s="5"/>
      <c r="E60" s="5"/>
      <c r="F60" s="6"/>
      <c r="G60" s="6"/>
      <c r="H60" s="6"/>
      <c r="I60" s="6"/>
      <c r="J60" s="6"/>
      <c r="K60" s="6"/>
      <c r="L60" s="6"/>
      <c r="M60" s="6"/>
      <c r="N60" s="6"/>
    </row>
    <row r="61" spans="1:14">
      <c r="A61" s="5"/>
      <c r="B61" s="5"/>
      <c r="C61" s="5"/>
      <c r="D61" s="5"/>
      <c r="E61" s="5"/>
      <c r="F61" s="6"/>
      <c r="G61" s="6"/>
      <c r="H61" s="6"/>
      <c r="I61" s="6"/>
      <c r="J61" s="6"/>
      <c r="K61" s="6"/>
      <c r="L61" s="6"/>
      <c r="M61" s="6"/>
      <c r="N61" s="6"/>
    </row>
    <row r="62" spans="1:14">
      <c r="A62" s="5"/>
      <c r="B62" s="5"/>
      <c r="C62" s="5"/>
      <c r="D62" s="5"/>
      <c r="E62" s="5"/>
      <c r="F62" s="6"/>
      <c r="G62" s="6"/>
      <c r="H62" s="6"/>
      <c r="I62" s="6"/>
      <c r="J62" s="6"/>
      <c r="K62" s="6"/>
      <c r="L62" s="6"/>
      <c r="M62" s="6"/>
      <c r="N62" s="6"/>
    </row>
    <row r="63" spans="1:14">
      <c r="A63" s="5"/>
      <c r="B63" s="5"/>
      <c r="C63" s="5"/>
      <c r="D63" s="5"/>
      <c r="E63" s="5"/>
      <c r="F63" s="6"/>
      <c r="G63" s="6"/>
      <c r="H63" s="6"/>
      <c r="I63" s="6"/>
      <c r="J63" s="6"/>
      <c r="K63" s="6"/>
      <c r="L63" s="6"/>
      <c r="M63" s="6"/>
      <c r="N63" s="6"/>
    </row>
    <row r="64" spans="1:14">
      <c r="A64" s="5"/>
      <c r="B64" s="5"/>
      <c r="C64" s="5"/>
      <c r="D64" s="5"/>
      <c r="E64" s="5"/>
      <c r="F64" s="6"/>
      <c r="G64" s="6"/>
      <c r="H64" s="6"/>
      <c r="I64" s="6"/>
      <c r="J64" s="6"/>
      <c r="K64" s="6"/>
      <c r="L64" s="6"/>
      <c r="M64" s="6"/>
      <c r="N64" s="6"/>
    </row>
    <row r="65" spans="1:14">
      <c r="A65" s="5"/>
      <c r="B65" s="5"/>
      <c r="C65" s="5"/>
      <c r="D65" s="5"/>
      <c r="E65" s="5"/>
      <c r="F65" s="6"/>
      <c r="G65" s="6"/>
      <c r="H65" s="6"/>
      <c r="I65" s="6"/>
      <c r="J65" s="6"/>
      <c r="K65" s="6"/>
      <c r="L65" s="6"/>
      <c r="M65" s="6"/>
      <c r="N65" s="6"/>
    </row>
    <row r="66" spans="1:14">
      <c r="A66" s="5"/>
      <c r="B66" s="5"/>
      <c r="C66" s="5"/>
      <c r="D66" s="5"/>
      <c r="E66" s="5"/>
      <c r="F66" s="6"/>
      <c r="G66" s="6"/>
      <c r="H66" s="6"/>
      <c r="I66" s="6"/>
      <c r="J66" s="6"/>
      <c r="K66" s="6"/>
      <c r="L66" s="6"/>
      <c r="M66" s="6"/>
      <c r="N66" s="6"/>
    </row>
    <row r="67" spans="1:14">
      <c r="A67" s="5"/>
      <c r="B67" s="5"/>
      <c r="C67" s="5"/>
      <c r="D67" s="5"/>
      <c r="E67" s="5"/>
      <c r="F67" s="6"/>
      <c r="G67" s="6"/>
      <c r="H67" s="6"/>
      <c r="I67" s="6"/>
      <c r="J67" s="6"/>
      <c r="K67" s="6"/>
      <c r="L67" s="6"/>
      <c r="M67" s="6"/>
      <c r="N67" s="6"/>
    </row>
    <row r="68" spans="1:14">
      <c r="A68" s="5"/>
      <c r="B68" s="5"/>
      <c r="C68" s="5"/>
      <c r="D68" s="5"/>
      <c r="E68" s="5"/>
      <c r="F68" s="6"/>
      <c r="G68" s="6"/>
      <c r="H68" s="6"/>
      <c r="I68" s="6"/>
      <c r="J68" s="6"/>
      <c r="K68" s="6"/>
      <c r="L68" s="6"/>
      <c r="M68" s="6"/>
      <c r="N68" s="6"/>
    </row>
    <row r="69" spans="1:14">
      <c r="A69" s="5"/>
      <c r="B69" s="5"/>
      <c r="C69" s="5"/>
      <c r="D69" s="5"/>
      <c r="E69" s="5"/>
      <c r="F69" s="6"/>
      <c r="G69" s="6"/>
      <c r="H69" s="6"/>
      <c r="I69" s="6"/>
      <c r="J69" s="6"/>
      <c r="K69" s="6"/>
      <c r="L69" s="6"/>
      <c r="M69" s="6"/>
      <c r="N69" s="6"/>
    </row>
    <row r="70" spans="1:14">
      <c r="A70" s="5"/>
      <c r="B70" s="5"/>
      <c r="C70" s="5"/>
      <c r="D70" s="5"/>
      <c r="E70" s="5"/>
      <c r="F70" s="6"/>
      <c r="G70" s="6"/>
      <c r="H70" s="6"/>
      <c r="I70" s="6"/>
      <c r="J70" s="6"/>
      <c r="K70" s="6"/>
      <c r="L70" s="6"/>
      <c r="M70" s="6"/>
      <c r="N70" s="6"/>
    </row>
    <row r="71" spans="1:14">
      <c r="A71" s="5"/>
      <c r="B71" s="5"/>
      <c r="C71" s="5"/>
      <c r="D71" s="5"/>
      <c r="E71" s="5"/>
      <c r="F71" s="6"/>
      <c r="G71" s="6"/>
      <c r="H71" s="6"/>
      <c r="I71" s="6"/>
      <c r="J71" s="6"/>
      <c r="K71" s="6"/>
      <c r="L71" s="6"/>
      <c r="M71" s="6"/>
      <c r="N71" s="6"/>
    </row>
    <row r="72" spans="1:14">
      <c r="A72" s="5"/>
      <c r="B72" s="5"/>
      <c r="C72" s="5"/>
      <c r="D72" s="5"/>
      <c r="E72" s="5"/>
      <c r="F72" s="6"/>
      <c r="G72" s="6"/>
      <c r="H72" s="6"/>
      <c r="I72" s="6"/>
      <c r="J72" s="6"/>
      <c r="K72" s="6"/>
      <c r="L72" s="6"/>
      <c r="M72" s="6"/>
      <c r="N72" s="6"/>
    </row>
    <row r="73" spans="1:14">
      <c r="A73" s="5"/>
      <c r="B73" s="5"/>
      <c r="C73" s="5"/>
      <c r="D73" s="5"/>
      <c r="E73" s="5"/>
      <c r="F73" s="6"/>
      <c r="G73" s="6"/>
      <c r="H73" s="6"/>
      <c r="I73" s="6"/>
      <c r="J73" s="6"/>
      <c r="K73" s="6"/>
      <c r="L73" s="6"/>
      <c r="M73" s="6"/>
      <c r="N73" s="6"/>
    </row>
    <row r="74" spans="1:14">
      <c r="A74" s="5"/>
      <c r="B74" s="5"/>
      <c r="C74" s="5"/>
      <c r="D74" s="5"/>
      <c r="E74" s="5"/>
      <c r="F74" s="6"/>
      <c r="G74" s="6"/>
      <c r="H74" s="6"/>
      <c r="I74" s="6"/>
      <c r="J74" s="6"/>
      <c r="K74" s="6"/>
      <c r="L74" s="6"/>
      <c r="M74" s="6"/>
      <c r="N74" s="6"/>
    </row>
    <row r="75" spans="1:14">
      <c r="A75" s="5"/>
      <c r="B75" s="5"/>
      <c r="C75" s="5"/>
      <c r="D75" s="5"/>
      <c r="E75" s="5"/>
      <c r="F75" s="6"/>
      <c r="G75" s="6"/>
      <c r="H75" s="6"/>
      <c r="I75" s="6"/>
      <c r="J75" s="6"/>
      <c r="K75" s="6"/>
      <c r="L75" s="6"/>
      <c r="M75" s="6"/>
      <c r="N75" s="6"/>
    </row>
    <row r="76" spans="1:14">
      <c r="A76" s="5"/>
      <c r="B76" s="5"/>
      <c r="C76" s="5"/>
      <c r="D76" s="5"/>
      <c r="E76" s="5"/>
      <c r="F76" s="6"/>
      <c r="G76" s="6"/>
      <c r="H76" s="6"/>
      <c r="I76" s="6"/>
      <c r="J76" s="6"/>
      <c r="K76" s="6"/>
      <c r="L76" s="6"/>
      <c r="M76" s="6"/>
      <c r="N76" s="6"/>
    </row>
    <row r="77" spans="1:14">
      <c r="A77" s="5"/>
      <c r="B77" s="5"/>
      <c r="C77" s="5"/>
      <c r="D77" s="5"/>
      <c r="E77" s="5"/>
      <c r="F77" s="6"/>
      <c r="G77" s="6"/>
      <c r="H77" s="6"/>
      <c r="I77" s="6"/>
      <c r="J77" s="6"/>
      <c r="K77" s="6"/>
      <c r="L77" s="6"/>
      <c r="M77" s="6"/>
      <c r="N77" s="6"/>
    </row>
    <row r="78" spans="1:14">
      <c r="A78" s="5"/>
      <c r="B78" s="5"/>
      <c r="C78" s="5"/>
      <c r="D78" s="5"/>
      <c r="E78" s="5"/>
      <c r="F78" s="6"/>
      <c r="G78" s="6"/>
      <c r="H78" s="6"/>
      <c r="I78" s="6"/>
      <c r="J78" s="6"/>
      <c r="K78" s="6"/>
      <c r="L78" s="6"/>
      <c r="M78" s="6"/>
      <c r="N78" s="6"/>
    </row>
    <row r="79" spans="1:14">
      <c r="A79" s="5"/>
      <c r="B79" s="5"/>
      <c r="C79" s="5"/>
      <c r="D79" s="5"/>
      <c r="E79" s="5"/>
      <c r="F79" s="6"/>
      <c r="G79" s="6"/>
      <c r="H79" s="6"/>
      <c r="I79" s="6"/>
      <c r="J79" s="6"/>
      <c r="K79" s="6"/>
      <c r="L79" s="6"/>
      <c r="M79" s="6"/>
      <c r="N79" s="6"/>
    </row>
    <row r="80" spans="1:14">
      <c r="A80" s="5"/>
      <c r="B80" s="5"/>
      <c r="C80" s="5"/>
      <c r="D80" s="5"/>
      <c r="E80" s="5"/>
      <c r="F80" s="6"/>
      <c r="G80" s="6"/>
      <c r="H80" s="6"/>
      <c r="I80" s="6"/>
      <c r="J80" s="6"/>
      <c r="K80" s="6"/>
      <c r="L80" s="6"/>
      <c r="M80" s="6"/>
      <c r="N80" s="6"/>
    </row>
    <row r="81" spans="1:14">
      <c r="A81" s="5"/>
      <c r="B81" s="5"/>
      <c r="C81" s="5"/>
      <c r="D81" s="5"/>
      <c r="E81" s="5"/>
      <c r="F81" s="6"/>
      <c r="G81" s="6"/>
      <c r="H81" s="6"/>
      <c r="I81" s="6"/>
      <c r="J81" s="6"/>
      <c r="K81" s="6"/>
      <c r="L81" s="6"/>
      <c r="M81" s="6"/>
      <c r="N81" s="6"/>
    </row>
    <row r="82" spans="1:14">
      <c r="A82" s="5"/>
      <c r="B82" s="5"/>
      <c r="C82" s="5"/>
      <c r="D82" s="5"/>
      <c r="E82" s="5"/>
      <c r="F82" s="6"/>
      <c r="G82" s="6"/>
      <c r="H82" s="6"/>
      <c r="I82" s="6"/>
      <c r="J82" s="6"/>
      <c r="K82" s="6"/>
      <c r="L82" s="6"/>
      <c r="M82" s="6"/>
      <c r="N82" s="6"/>
    </row>
    <row r="83" spans="1:14">
      <c r="A83" s="5"/>
      <c r="B83" s="5"/>
      <c r="C83" s="5"/>
      <c r="D83" s="5"/>
      <c r="E83" s="5"/>
      <c r="F83" s="6"/>
      <c r="G83" s="6"/>
      <c r="H83" s="6"/>
      <c r="I83" s="6"/>
      <c r="J83" s="6"/>
      <c r="K83" s="6"/>
      <c r="L83" s="6"/>
      <c r="M83" s="6"/>
      <c r="N83" s="6"/>
    </row>
    <row r="84" spans="1:14">
      <c r="A84" s="5"/>
      <c r="B84" s="5"/>
      <c r="C84" s="5"/>
      <c r="D84" s="5"/>
      <c r="E84" s="5"/>
      <c r="F84" s="6"/>
      <c r="G84" s="6"/>
      <c r="H84" s="6"/>
      <c r="I84" s="6"/>
      <c r="J84" s="6"/>
      <c r="K84" s="6"/>
      <c r="L84" s="6"/>
      <c r="M84" s="6"/>
      <c r="N84" s="6"/>
    </row>
    <row r="85" spans="1:14">
      <c r="A85" s="5"/>
      <c r="B85" s="5"/>
      <c r="C85" s="5"/>
      <c r="D85" s="5"/>
      <c r="E85" s="5"/>
      <c r="F85" s="6"/>
      <c r="G85" s="6"/>
      <c r="H85" s="6"/>
      <c r="I85" s="6"/>
      <c r="J85" s="6"/>
      <c r="K85" s="6"/>
      <c r="L85" s="6"/>
      <c r="M85" s="6"/>
      <c r="N85" s="6"/>
    </row>
    <row r="86" spans="1:14">
      <c r="A86" s="5"/>
      <c r="B86" s="5"/>
      <c r="C86" s="5"/>
      <c r="D86" s="5"/>
      <c r="E86" s="5"/>
      <c r="F86" s="6"/>
      <c r="G86" s="6"/>
      <c r="H86" s="6"/>
      <c r="I86" s="6"/>
      <c r="J86" s="6"/>
      <c r="K86" s="6"/>
      <c r="L86" s="6"/>
      <c r="M86" s="6"/>
      <c r="N86" s="6"/>
    </row>
    <row r="87" spans="1:14">
      <c r="A87" s="5"/>
      <c r="B87" s="5"/>
      <c r="C87" s="5"/>
      <c r="D87" s="5"/>
      <c r="E87" s="5"/>
      <c r="F87" s="6"/>
      <c r="G87" s="6"/>
      <c r="H87" s="6"/>
      <c r="I87" s="6"/>
      <c r="J87" s="6"/>
      <c r="K87" s="6"/>
      <c r="L87" s="6"/>
      <c r="M87" s="6"/>
      <c r="N87" s="6"/>
    </row>
    <row r="88" spans="1:14">
      <c r="A88" s="5"/>
      <c r="B88" s="5"/>
      <c r="C88" s="5"/>
      <c r="D88" s="5"/>
      <c r="E88" s="5"/>
      <c r="F88" s="6"/>
      <c r="G88" s="6"/>
      <c r="H88" s="6"/>
      <c r="I88" s="6"/>
      <c r="J88" s="6"/>
      <c r="K88" s="6"/>
      <c r="L88" s="6"/>
      <c r="M88" s="6"/>
      <c r="N88" s="6"/>
    </row>
    <row r="89" spans="1:14">
      <c r="A89" s="5"/>
      <c r="B89" s="5"/>
      <c r="C89" s="5"/>
      <c r="D89" s="5"/>
      <c r="E89" s="5"/>
      <c r="F89" s="6"/>
      <c r="G89" s="6"/>
      <c r="H89" s="6"/>
      <c r="I89" s="6"/>
      <c r="J89" s="6"/>
      <c r="K89" s="6"/>
      <c r="L89" s="6"/>
      <c r="M89" s="6"/>
      <c r="N89" s="6"/>
    </row>
    <row r="90" spans="1:14">
      <c r="A90" s="5"/>
      <c r="B90" s="5"/>
      <c r="C90" s="5"/>
      <c r="D90" s="5"/>
      <c r="E90" s="5"/>
      <c r="F90" s="6"/>
      <c r="G90" s="6"/>
      <c r="H90" s="6"/>
      <c r="I90" s="6"/>
      <c r="J90" s="6"/>
      <c r="K90" s="6"/>
      <c r="L90" s="6"/>
      <c r="M90" s="6"/>
      <c r="N90" s="6"/>
    </row>
    <row r="91" spans="1:14">
      <c r="A91" s="5"/>
      <c r="B91" s="5"/>
      <c r="C91" s="5"/>
      <c r="D91" s="5"/>
      <c r="E91" s="5"/>
      <c r="F91" s="6"/>
      <c r="G91" s="6"/>
      <c r="H91" s="6"/>
      <c r="I91" s="6"/>
      <c r="J91" s="6"/>
      <c r="K91" s="6"/>
      <c r="L91" s="6"/>
      <c r="M91" s="6"/>
      <c r="N91" s="6"/>
    </row>
    <row r="92" spans="1:14">
      <c r="A92" s="5"/>
      <c r="B92" s="5"/>
      <c r="C92" s="5"/>
      <c r="D92" s="5"/>
      <c r="E92" s="5"/>
      <c r="F92" s="6"/>
      <c r="G92" s="6"/>
      <c r="H92" s="6"/>
      <c r="I92" s="6"/>
      <c r="J92" s="6"/>
      <c r="K92" s="6"/>
      <c r="L92" s="6"/>
      <c r="M92" s="6"/>
      <c r="N92" s="6"/>
    </row>
    <row r="93" spans="1:14">
      <c r="A93" s="5"/>
      <c r="B93" s="5"/>
      <c r="C93" s="5"/>
      <c r="D93" s="5"/>
      <c r="E93" s="5"/>
      <c r="F93" s="6"/>
      <c r="G93" s="6"/>
      <c r="H93" s="6"/>
      <c r="I93" s="6"/>
      <c r="J93" s="6"/>
      <c r="K93" s="6"/>
      <c r="L93" s="6"/>
      <c r="M93" s="6"/>
      <c r="N93" s="6"/>
    </row>
    <row r="94" spans="1:14">
      <c r="A94" s="5"/>
      <c r="B94" s="5"/>
      <c r="C94" s="5"/>
      <c r="D94" s="5"/>
      <c r="E94" s="5"/>
      <c r="F94" s="6"/>
      <c r="G94" s="6"/>
      <c r="H94" s="6"/>
      <c r="I94" s="6"/>
      <c r="J94" s="6"/>
      <c r="K94" s="6"/>
      <c r="L94" s="6"/>
      <c r="M94" s="6"/>
      <c r="N94" s="6"/>
    </row>
    <row r="95" spans="1:14">
      <c r="A95" s="5"/>
      <c r="B95" s="5"/>
      <c r="C95" s="5"/>
      <c r="D95" s="5"/>
      <c r="E95" s="5"/>
      <c r="F95" s="6"/>
      <c r="G95" s="6"/>
      <c r="H95" s="6"/>
      <c r="I95" s="6"/>
      <c r="J95" s="6"/>
      <c r="K95" s="6"/>
      <c r="L95" s="6"/>
      <c r="M95" s="6"/>
      <c r="N95" s="6"/>
    </row>
    <row r="96" spans="1:14">
      <c r="A96" s="5"/>
      <c r="B96" s="5"/>
      <c r="C96" s="5"/>
      <c r="D96" s="5"/>
      <c r="E96" s="5"/>
      <c r="F96" s="6"/>
      <c r="G96" s="6"/>
      <c r="H96" s="6"/>
      <c r="I96" s="6"/>
      <c r="J96" s="6"/>
      <c r="K96" s="6"/>
      <c r="L96" s="6"/>
      <c r="M96" s="6"/>
      <c r="N96" s="6"/>
    </row>
    <row r="97" spans="1:14">
      <c r="A97" s="5"/>
      <c r="B97" s="5"/>
      <c r="C97" s="5"/>
      <c r="D97" s="5"/>
      <c r="E97" s="5"/>
      <c r="F97" s="6"/>
      <c r="G97" s="6"/>
      <c r="H97" s="6"/>
      <c r="I97" s="6"/>
      <c r="J97" s="6"/>
      <c r="K97" s="6"/>
      <c r="L97" s="6"/>
      <c r="M97" s="6"/>
      <c r="N97" s="6"/>
    </row>
    <row r="98" spans="1:14">
      <c r="A98" s="5"/>
      <c r="B98" s="5"/>
      <c r="C98" s="5"/>
      <c r="D98" s="5"/>
      <c r="E98" s="5"/>
      <c r="F98" s="6"/>
      <c r="G98" s="6"/>
      <c r="H98" s="6"/>
      <c r="I98" s="6"/>
      <c r="J98" s="6"/>
      <c r="K98" s="6"/>
      <c r="L98" s="6"/>
      <c r="M98" s="6"/>
      <c r="N98" s="6"/>
    </row>
    <row r="99" spans="1:14">
      <c r="A99" s="5"/>
      <c r="B99" s="5"/>
      <c r="C99" s="5"/>
      <c r="D99" s="5"/>
      <c r="E99" s="5"/>
      <c r="F99" s="6"/>
      <c r="G99" s="6"/>
      <c r="H99" s="6"/>
      <c r="I99" s="6"/>
      <c r="J99" s="6"/>
      <c r="K99" s="6"/>
      <c r="L99" s="6"/>
      <c r="M99" s="6"/>
      <c r="N99" s="6"/>
    </row>
    <row r="100" spans="1:14">
      <c r="A100" s="5"/>
      <c r="B100" s="5"/>
      <c r="C100" s="5"/>
      <c r="D100" s="5"/>
      <c r="E100" s="5"/>
      <c r="F100" s="6"/>
      <c r="G100" s="6"/>
      <c r="H100" s="6"/>
      <c r="I100" s="6"/>
      <c r="J100" s="6"/>
      <c r="K100" s="6"/>
      <c r="L100" s="6"/>
      <c r="M100" s="6"/>
      <c r="N100" s="6"/>
    </row>
    <row r="101" spans="1:14">
      <c r="A101" s="5"/>
      <c r="B101" s="5"/>
      <c r="C101" s="5"/>
      <c r="D101" s="5"/>
      <c r="E101" s="5"/>
      <c r="F101" s="6"/>
      <c r="G101" s="6"/>
      <c r="H101" s="6"/>
      <c r="I101" s="6"/>
      <c r="J101" s="6"/>
      <c r="K101" s="6"/>
      <c r="L101" s="6"/>
      <c r="M101" s="6"/>
      <c r="N101" s="6"/>
    </row>
    <row r="102" spans="1:14">
      <c r="A102" s="5"/>
      <c r="B102" s="5"/>
      <c r="C102" s="5"/>
      <c r="D102" s="5"/>
      <c r="E102" s="5"/>
      <c r="F102" s="6"/>
      <c r="G102" s="6"/>
      <c r="H102" s="6"/>
      <c r="I102" s="6"/>
      <c r="J102" s="6"/>
      <c r="K102" s="6"/>
      <c r="L102" s="6"/>
      <c r="M102" s="6"/>
      <c r="N102" s="6"/>
    </row>
    <row r="103" spans="1:14">
      <c r="A103" s="5"/>
      <c r="B103" s="5"/>
      <c r="C103" s="5"/>
      <c r="D103" s="5"/>
      <c r="E103" s="5"/>
      <c r="F103" s="6"/>
      <c r="G103" s="6"/>
      <c r="H103" s="6"/>
      <c r="I103" s="6"/>
      <c r="J103" s="6"/>
      <c r="K103" s="6"/>
      <c r="L103" s="6"/>
      <c r="M103" s="6"/>
      <c r="N103" s="6"/>
    </row>
    <row r="104" spans="1:14">
      <c r="A104" s="5"/>
      <c r="B104" s="5"/>
      <c r="C104" s="5"/>
      <c r="D104" s="5"/>
      <c r="E104" s="5"/>
      <c r="F104" s="6"/>
      <c r="G104" s="6"/>
      <c r="H104" s="6"/>
      <c r="I104" s="6"/>
      <c r="J104" s="6"/>
      <c r="K104" s="6"/>
      <c r="L104" s="6"/>
      <c r="M104" s="6"/>
      <c r="N104" s="6"/>
    </row>
    <row r="105" spans="1:14">
      <c r="A105" s="5"/>
      <c r="B105" s="5"/>
      <c r="C105" s="5"/>
      <c r="D105" s="5"/>
      <c r="E105" s="5"/>
      <c r="F105" s="6"/>
      <c r="G105" s="6"/>
      <c r="H105" s="6"/>
      <c r="I105" s="6"/>
      <c r="J105" s="6"/>
      <c r="K105" s="6"/>
      <c r="L105" s="6"/>
      <c r="M105" s="6"/>
      <c r="N105" s="6"/>
    </row>
    <row r="106" spans="1:14">
      <c r="A106" s="5"/>
      <c r="B106" s="5"/>
      <c r="C106" s="5"/>
      <c r="D106" s="5"/>
      <c r="E106" s="5"/>
      <c r="F106" s="6"/>
      <c r="G106" s="6"/>
      <c r="H106" s="6"/>
      <c r="I106" s="6"/>
      <c r="J106" s="6"/>
      <c r="K106" s="6"/>
      <c r="L106" s="6"/>
      <c r="M106" s="6"/>
      <c r="N106" s="6"/>
    </row>
    <row r="107" spans="1:14">
      <c r="A107" s="5"/>
      <c r="B107" s="5"/>
      <c r="C107" s="5"/>
      <c r="D107" s="5"/>
      <c r="E107" s="5"/>
      <c r="F107" s="6"/>
      <c r="G107" s="6"/>
      <c r="H107" s="6"/>
      <c r="I107" s="6"/>
      <c r="J107" s="6"/>
      <c r="K107" s="6"/>
      <c r="L107" s="6"/>
      <c r="M107" s="6"/>
      <c r="N107" s="6"/>
    </row>
    <row r="108" spans="1:14">
      <c r="A108" s="5"/>
      <c r="B108" s="5"/>
      <c r="C108" s="5"/>
      <c r="D108" s="5"/>
      <c r="E108" s="5"/>
      <c r="F108" s="6"/>
      <c r="G108" s="6"/>
      <c r="H108" s="6"/>
      <c r="I108" s="6"/>
      <c r="J108" s="6"/>
      <c r="K108" s="6"/>
      <c r="L108" s="6"/>
      <c r="M108" s="6"/>
      <c r="N108" s="6"/>
    </row>
    <row r="109" spans="1:14">
      <c r="A109" s="5"/>
      <c r="B109" s="5"/>
      <c r="C109" s="5"/>
      <c r="D109" s="5"/>
      <c r="E109" s="5"/>
      <c r="F109" s="6"/>
      <c r="G109" s="6"/>
      <c r="H109" s="6"/>
      <c r="I109" s="6"/>
      <c r="J109" s="6"/>
      <c r="K109" s="6"/>
      <c r="L109" s="6"/>
      <c r="M109" s="6"/>
      <c r="N109" s="6"/>
    </row>
    <row r="110" spans="1:14">
      <c r="A110" s="5"/>
      <c r="B110" s="5"/>
      <c r="C110" s="5"/>
      <c r="D110" s="5"/>
      <c r="E110" s="5"/>
      <c r="F110" s="6"/>
      <c r="G110" s="6"/>
      <c r="H110" s="6"/>
      <c r="I110" s="6"/>
      <c r="J110" s="6"/>
      <c r="K110" s="6"/>
      <c r="L110" s="6"/>
      <c r="M110" s="6"/>
      <c r="N110" s="6"/>
    </row>
    <row r="111" spans="1:14">
      <c r="A111" s="5"/>
      <c r="B111" s="5"/>
      <c r="C111" s="5"/>
      <c r="D111" s="5"/>
      <c r="E111" s="5"/>
      <c r="F111" s="6"/>
      <c r="G111" s="6"/>
      <c r="H111" s="6"/>
      <c r="I111" s="6"/>
      <c r="J111" s="6"/>
      <c r="K111" s="6"/>
      <c r="L111" s="6"/>
      <c r="M111" s="6"/>
      <c r="N111" s="6"/>
    </row>
    <row r="112" spans="1:14">
      <c r="A112" s="5"/>
      <c r="B112" s="5"/>
      <c r="C112" s="5"/>
      <c r="D112" s="5"/>
      <c r="E112" s="5"/>
      <c r="F112" s="6"/>
      <c r="G112" s="6"/>
      <c r="H112" s="6"/>
      <c r="I112" s="6"/>
      <c r="J112" s="6"/>
      <c r="K112" s="6"/>
      <c r="L112" s="6"/>
      <c r="M112" s="6"/>
      <c r="N112" s="6"/>
    </row>
    <row r="113" spans="1:14">
      <c r="A113" s="5"/>
      <c r="B113" s="5"/>
      <c r="C113" s="5"/>
      <c r="D113" s="5"/>
      <c r="E113" s="5"/>
      <c r="F113" s="6"/>
      <c r="G113" s="6"/>
      <c r="H113" s="6"/>
      <c r="I113" s="6"/>
      <c r="J113" s="6"/>
      <c r="K113" s="6"/>
      <c r="L113" s="6"/>
      <c r="M113" s="6"/>
      <c r="N113" s="6"/>
    </row>
    <row r="114" spans="1:14">
      <c r="A114" s="5"/>
      <c r="B114" s="5"/>
      <c r="C114" s="5"/>
      <c r="D114" s="5"/>
      <c r="E114" s="5"/>
      <c r="F114" s="6"/>
      <c r="G114" s="6"/>
      <c r="H114" s="6"/>
      <c r="I114" s="6"/>
      <c r="J114" s="6"/>
      <c r="K114" s="6"/>
      <c r="L114" s="6"/>
      <c r="M114" s="6"/>
      <c r="N114" s="6"/>
    </row>
    <row r="115" spans="1:14">
      <c r="A115" s="5"/>
      <c r="B115" s="5"/>
      <c r="C115" s="5"/>
      <c r="D115" s="5"/>
      <c r="E115" s="5"/>
      <c r="F115" s="6"/>
      <c r="G115" s="6"/>
      <c r="H115" s="6"/>
      <c r="I115" s="6"/>
      <c r="J115" s="6"/>
      <c r="K115" s="6"/>
      <c r="L115" s="6"/>
      <c r="M115" s="6"/>
      <c r="N115" s="6"/>
    </row>
    <row r="116" spans="1:14">
      <c r="A116" s="5"/>
      <c r="B116" s="5"/>
      <c r="C116" s="5"/>
      <c r="D116" s="5"/>
      <c r="E116" s="5"/>
      <c r="F116" s="6"/>
      <c r="G116" s="6"/>
      <c r="H116" s="6"/>
      <c r="I116" s="6"/>
      <c r="J116" s="6"/>
      <c r="K116" s="6"/>
      <c r="L116" s="6"/>
      <c r="M116" s="6"/>
      <c r="N116" s="6"/>
    </row>
    <row r="117" spans="1:14">
      <c r="A117" s="5"/>
      <c r="B117" s="5"/>
      <c r="C117" s="5"/>
      <c r="D117" s="5"/>
      <c r="E117" s="5"/>
      <c r="F117" s="6"/>
      <c r="G117" s="6"/>
      <c r="H117" s="6"/>
      <c r="I117" s="6"/>
      <c r="J117" s="6"/>
      <c r="K117" s="6"/>
      <c r="L117" s="6"/>
      <c r="M117" s="6"/>
      <c r="N117" s="6"/>
    </row>
    <row r="118" spans="1:14">
      <c r="A118" s="5"/>
      <c r="B118" s="5"/>
      <c r="C118" s="5"/>
      <c r="D118" s="5"/>
      <c r="E118" s="5"/>
      <c r="F118" s="6"/>
      <c r="G118" s="6"/>
      <c r="H118" s="6"/>
      <c r="I118" s="6"/>
      <c r="J118" s="6"/>
      <c r="K118" s="6"/>
      <c r="L118" s="6"/>
      <c r="M118" s="6"/>
      <c r="N118" s="6"/>
    </row>
    <row r="119" spans="1:14">
      <c r="A119" s="5"/>
      <c r="B119" s="5"/>
      <c r="C119" s="5"/>
      <c r="D119" s="5"/>
      <c r="E119" s="5"/>
      <c r="F119" s="6"/>
      <c r="G119" s="6"/>
      <c r="H119" s="6"/>
      <c r="I119" s="6"/>
      <c r="J119" s="6"/>
      <c r="K119" s="6"/>
      <c r="L119" s="6"/>
      <c r="M119" s="6"/>
      <c r="N119" s="6"/>
    </row>
    <row r="120" spans="1:14">
      <c r="A120" s="5"/>
      <c r="B120" s="5"/>
      <c r="C120" s="5"/>
      <c r="D120" s="5"/>
      <c r="E120" s="5"/>
      <c r="F120" s="6"/>
      <c r="G120" s="6"/>
      <c r="H120" s="6"/>
      <c r="I120" s="6"/>
      <c r="J120" s="6"/>
      <c r="K120" s="6"/>
      <c r="L120" s="6"/>
      <c r="M120" s="6"/>
      <c r="N120" s="6"/>
    </row>
    <row r="121" spans="1:14">
      <c r="A121" s="5"/>
      <c r="B121" s="5"/>
      <c r="C121" s="5"/>
      <c r="D121" s="5"/>
      <c r="E121" s="5"/>
      <c r="F121" s="6"/>
      <c r="G121" s="6"/>
      <c r="H121" s="6"/>
      <c r="I121" s="6"/>
      <c r="J121" s="6"/>
      <c r="K121" s="6"/>
      <c r="L121" s="6"/>
      <c r="M121" s="6"/>
      <c r="N121" s="6"/>
    </row>
    <row r="122" spans="1:14">
      <c r="A122" s="5"/>
      <c r="B122" s="5"/>
      <c r="C122" s="5"/>
      <c r="D122" s="5"/>
      <c r="E122" s="5"/>
      <c r="F122" s="6"/>
      <c r="G122" s="6"/>
      <c r="H122" s="6"/>
      <c r="I122" s="6"/>
      <c r="J122" s="6"/>
      <c r="K122" s="6"/>
      <c r="L122" s="6"/>
      <c r="M122" s="6"/>
      <c r="N122" s="6"/>
    </row>
    <row r="123" spans="1:14">
      <c r="A123" s="5"/>
      <c r="B123" s="5"/>
      <c r="C123" s="5"/>
      <c r="D123" s="5"/>
      <c r="E123" s="5"/>
      <c r="F123" s="6"/>
      <c r="G123" s="6"/>
      <c r="H123" s="6"/>
      <c r="I123" s="6"/>
      <c r="J123" s="6"/>
      <c r="K123" s="6"/>
      <c r="L123" s="6"/>
      <c r="M123" s="6"/>
      <c r="N123" s="6"/>
    </row>
    <row r="124" spans="1:14">
      <c r="A124" s="5"/>
      <c r="B124" s="5"/>
      <c r="C124" s="5"/>
      <c r="D124" s="5"/>
      <c r="E124" s="5"/>
      <c r="F124" s="6"/>
      <c r="G124" s="6"/>
      <c r="H124" s="6"/>
      <c r="I124" s="6"/>
      <c r="J124" s="6"/>
      <c r="K124" s="6"/>
      <c r="L124" s="6"/>
      <c r="M124" s="6"/>
      <c r="N124" s="6"/>
    </row>
    <row r="125" spans="1:14">
      <c r="A125" s="5"/>
      <c r="B125" s="5"/>
      <c r="C125" s="5"/>
      <c r="D125" s="5"/>
      <c r="E125" s="5"/>
      <c r="F125" s="6"/>
      <c r="G125" s="6"/>
      <c r="H125" s="6"/>
      <c r="I125" s="6"/>
      <c r="J125" s="6"/>
      <c r="K125" s="6"/>
      <c r="L125" s="6"/>
      <c r="M125" s="6"/>
      <c r="N125" s="6"/>
    </row>
    <row r="126" spans="1:14">
      <c r="A126" s="5"/>
      <c r="B126" s="5"/>
      <c r="C126" s="5"/>
      <c r="D126" s="5"/>
      <c r="E126" s="5"/>
      <c r="F126" s="6"/>
      <c r="G126" s="6"/>
      <c r="H126" s="6"/>
      <c r="I126" s="6"/>
      <c r="J126" s="6"/>
      <c r="K126" s="6"/>
      <c r="L126" s="6"/>
      <c r="M126" s="6"/>
      <c r="N126" s="6"/>
    </row>
    <row r="127" spans="1:14">
      <c r="A127" s="5"/>
      <c r="B127" s="5"/>
      <c r="C127" s="5"/>
      <c r="D127" s="5"/>
      <c r="E127" s="5"/>
      <c r="F127" s="6"/>
      <c r="G127" s="6"/>
      <c r="H127" s="6"/>
      <c r="I127" s="6"/>
      <c r="J127" s="6"/>
      <c r="K127" s="6"/>
      <c r="L127" s="6"/>
      <c r="M127" s="6"/>
      <c r="N127" s="6"/>
    </row>
    <row r="128" spans="1:14">
      <c r="A128" s="5"/>
      <c r="B128" s="5"/>
      <c r="C128" s="5"/>
      <c r="D128" s="5"/>
      <c r="E128" s="5"/>
      <c r="F128" s="6"/>
      <c r="G128" s="6"/>
      <c r="H128" s="6"/>
      <c r="I128" s="6"/>
      <c r="J128" s="6"/>
      <c r="K128" s="6"/>
      <c r="L128" s="6"/>
      <c r="M128" s="6"/>
      <c r="N128" s="6"/>
    </row>
    <row r="129" spans="1:14">
      <c r="A129" s="5"/>
      <c r="B129" s="5"/>
      <c r="C129" s="5"/>
      <c r="D129" s="5"/>
      <c r="E129" s="5"/>
      <c r="F129" s="6"/>
      <c r="G129" s="6"/>
      <c r="H129" s="6"/>
      <c r="I129" s="6"/>
      <c r="J129" s="6"/>
      <c r="K129" s="6"/>
      <c r="L129" s="6"/>
      <c r="M129" s="6"/>
      <c r="N129" s="6"/>
    </row>
    <row r="130" spans="1:14">
      <c r="A130" s="5"/>
      <c r="B130" s="5"/>
      <c r="C130" s="5"/>
      <c r="D130" s="5"/>
      <c r="E130" s="5"/>
      <c r="F130" s="6"/>
      <c r="G130" s="6"/>
      <c r="H130" s="6"/>
      <c r="I130" s="6"/>
      <c r="J130" s="6"/>
      <c r="K130" s="6"/>
      <c r="L130" s="6"/>
      <c r="M130" s="6"/>
      <c r="N130" s="6"/>
    </row>
    <row r="131" spans="1:14">
      <c r="A131" s="5"/>
      <c r="B131" s="5"/>
      <c r="C131" s="5"/>
      <c r="D131" s="5"/>
      <c r="E131" s="5"/>
      <c r="F131" s="6"/>
      <c r="G131" s="6"/>
      <c r="H131" s="6"/>
      <c r="I131" s="6"/>
      <c r="J131" s="6"/>
      <c r="K131" s="6"/>
      <c r="L131" s="6"/>
      <c r="M131" s="6"/>
      <c r="N131" s="6"/>
    </row>
    <row r="132" spans="1:14">
      <c r="A132" s="5"/>
      <c r="B132" s="5"/>
      <c r="C132" s="5"/>
      <c r="D132" s="5"/>
      <c r="E132" s="5"/>
      <c r="F132" s="6"/>
      <c r="G132" s="6"/>
      <c r="H132" s="6"/>
      <c r="I132" s="6"/>
      <c r="J132" s="6"/>
      <c r="K132" s="6"/>
      <c r="L132" s="6"/>
      <c r="M132" s="6"/>
      <c r="N132" s="6"/>
    </row>
    <row r="133" spans="1:14">
      <c r="A133" s="5"/>
      <c r="B133" s="5"/>
      <c r="C133" s="5"/>
      <c r="D133" s="5"/>
      <c r="E133" s="5"/>
      <c r="F133" s="6"/>
      <c r="G133" s="6"/>
      <c r="H133" s="6"/>
      <c r="I133" s="6"/>
      <c r="J133" s="6"/>
      <c r="K133" s="6"/>
      <c r="L133" s="6"/>
      <c r="M133" s="6"/>
      <c r="N133" s="6"/>
    </row>
    <row r="134" spans="1:14">
      <c r="A134" s="5"/>
      <c r="B134" s="5"/>
      <c r="C134" s="5"/>
      <c r="D134" s="5"/>
      <c r="E134" s="5"/>
      <c r="F134" s="6"/>
      <c r="G134" s="6"/>
      <c r="H134" s="6"/>
      <c r="I134" s="6"/>
      <c r="J134" s="6"/>
      <c r="K134" s="6"/>
      <c r="L134" s="6"/>
      <c r="M134" s="6"/>
      <c r="N134" s="6"/>
    </row>
    <row r="135" spans="1:14">
      <c r="A135" s="5"/>
      <c r="B135" s="5"/>
      <c r="C135" s="5"/>
      <c r="D135" s="5"/>
      <c r="E135" s="5"/>
      <c r="F135" s="6"/>
      <c r="G135" s="6"/>
      <c r="H135" s="6"/>
      <c r="I135" s="6"/>
      <c r="J135" s="6"/>
      <c r="K135" s="6"/>
      <c r="L135" s="6"/>
      <c r="M135" s="6"/>
      <c r="N135" s="6"/>
    </row>
    <row r="136" spans="1:14">
      <c r="A136" s="5"/>
      <c r="B136" s="5"/>
      <c r="C136" s="5"/>
      <c r="D136" s="5"/>
      <c r="E136" s="5"/>
      <c r="F136" s="6"/>
      <c r="G136" s="6"/>
      <c r="H136" s="6"/>
      <c r="I136" s="6"/>
      <c r="J136" s="6"/>
      <c r="K136" s="6"/>
      <c r="L136" s="6"/>
      <c r="M136" s="6"/>
      <c r="N136" s="6"/>
    </row>
    <row r="137" spans="1:14">
      <c r="A137" s="5"/>
      <c r="B137" s="5"/>
      <c r="C137" s="5"/>
      <c r="D137" s="5"/>
      <c r="E137" s="5"/>
      <c r="F137" s="6"/>
      <c r="G137" s="6"/>
      <c r="H137" s="6"/>
      <c r="I137" s="6"/>
      <c r="J137" s="6"/>
      <c r="K137" s="6"/>
      <c r="L137" s="6"/>
      <c r="M137" s="6"/>
      <c r="N137" s="6"/>
    </row>
    <row r="138" spans="1:14">
      <c r="A138" s="5"/>
      <c r="B138" s="5"/>
      <c r="C138" s="5"/>
      <c r="D138" s="5"/>
      <c r="E138" s="5"/>
      <c r="F138" s="6"/>
      <c r="G138" s="6"/>
      <c r="H138" s="6"/>
      <c r="I138" s="6"/>
      <c r="J138" s="6"/>
      <c r="K138" s="6"/>
      <c r="L138" s="6"/>
      <c r="M138" s="6"/>
      <c r="N138" s="6"/>
    </row>
    <row r="139" spans="1:14">
      <c r="A139" s="5"/>
      <c r="B139" s="5"/>
      <c r="C139" s="5"/>
      <c r="D139" s="5"/>
      <c r="E139" s="5"/>
      <c r="F139" s="6"/>
      <c r="G139" s="6"/>
      <c r="H139" s="6"/>
      <c r="I139" s="6"/>
      <c r="J139" s="6"/>
      <c r="K139" s="6"/>
      <c r="L139" s="6"/>
      <c r="M139" s="6"/>
      <c r="N139" s="6"/>
    </row>
    <row r="140" spans="1:14">
      <c r="A140" s="5"/>
      <c r="B140" s="5"/>
      <c r="C140" s="5"/>
      <c r="D140" s="5"/>
      <c r="E140" s="5"/>
      <c r="F140" s="6"/>
      <c r="G140" s="6"/>
      <c r="H140" s="6"/>
      <c r="I140" s="6"/>
      <c r="J140" s="6"/>
      <c r="K140" s="6"/>
      <c r="L140" s="6"/>
      <c r="M140" s="6"/>
      <c r="N140" s="6"/>
    </row>
    <row r="141" spans="1:14">
      <c r="A141" s="5"/>
      <c r="B141" s="5"/>
      <c r="C141" s="5"/>
      <c r="D141" s="5"/>
      <c r="E141" s="5"/>
      <c r="F141" s="6"/>
      <c r="G141" s="6"/>
      <c r="H141" s="6"/>
      <c r="I141" s="6"/>
      <c r="J141" s="6"/>
      <c r="K141" s="6"/>
      <c r="L141" s="6"/>
      <c r="M141" s="6"/>
      <c r="N141" s="6"/>
    </row>
    <row r="142" spans="1:14">
      <c r="A142" s="5"/>
      <c r="B142" s="5"/>
      <c r="C142" s="5"/>
      <c r="D142" s="5"/>
      <c r="E142" s="5"/>
      <c r="F142" s="6"/>
      <c r="G142" s="6"/>
      <c r="H142" s="6"/>
      <c r="I142" s="6"/>
      <c r="J142" s="6"/>
      <c r="K142" s="6"/>
      <c r="L142" s="6"/>
      <c r="M142" s="6"/>
      <c r="N142" s="6"/>
    </row>
    <row r="143" spans="1:14">
      <c r="A143" s="5"/>
      <c r="B143" s="5"/>
      <c r="C143" s="5"/>
      <c r="D143" s="5"/>
      <c r="E143" s="5"/>
      <c r="F143" s="6"/>
      <c r="G143" s="6"/>
      <c r="H143" s="6"/>
      <c r="I143" s="6"/>
      <c r="J143" s="6"/>
      <c r="K143" s="6"/>
      <c r="L143" s="6"/>
      <c r="M143" s="6"/>
      <c r="N143" s="6"/>
    </row>
    <row r="144" spans="1:14">
      <c r="A144" s="5"/>
      <c r="B144" s="5"/>
      <c r="C144" s="5"/>
      <c r="D144" s="5"/>
      <c r="E144" s="5"/>
      <c r="F144" s="6"/>
      <c r="G144" s="6"/>
      <c r="H144" s="6"/>
      <c r="I144" s="6"/>
      <c r="J144" s="6"/>
      <c r="K144" s="6"/>
      <c r="L144" s="6"/>
      <c r="M144" s="6"/>
      <c r="N144" s="6"/>
    </row>
    <row r="145" spans="1:14">
      <c r="A145" s="5"/>
      <c r="B145" s="5"/>
      <c r="C145" s="5"/>
      <c r="D145" s="5"/>
      <c r="E145" s="5"/>
      <c r="F145" s="6"/>
      <c r="G145" s="6"/>
      <c r="H145" s="6"/>
      <c r="I145" s="6"/>
      <c r="J145" s="6"/>
      <c r="K145" s="6"/>
      <c r="L145" s="6"/>
      <c r="M145" s="6"/>
      <c r="N145" s="6"/>
    </row>
    <row r="146" spans="1:14">
      <c r="A146" s="5"/>
      <c r="B146" s="5"/>
      <c r="C146" s="5"/>
      <c r="D146" s="5"/>
      <c r="E146" s="5"/>
      <c r="F146" s="6"/>
      <c r="G146" s="6"/>
      <c r="H146" s="6"/>
      <c r="I146" s="6"/>
      <c r="J146" s="6"/>
      <c r="K146" s="6"/>
      <c r="L146" s="6"/>
      <c r="M146" s="6"/>
      <c r="N146" s="6"/>
    </row>
    <row r="147" spans="1:14">
      <c r="A147" s="5"/>
      <c r="B147" s="5"/>
      <c r="C147" s="5"/>
      <c r="D147" s="5"/>
      <c r="E147" s="5"/>
      <c r="F147" s="6"/>
      <c r="G147" s="6"/>
      <c r="H147" s="6"/>
      <c r="I147" s="6"/>
      <c r="J147" s="6"/>
      <c r="K147" s="6"/>
      <c r="L147" s="6"/>
      <c r="M147" s="6"/>
      <c r="N147" s="6"/>
    </row>
    <row r="148" spans="1:14">
      <c r="A148" s="5"/>
      <c r="B148" s="5"/>
      <c r="C148" s="5"/>
      <c r="D148" s="5"/>
      <c r="E148" s="5"/>
      <c r="F148" s="6"/>
      <c r="G148" s="6"/>
      <c r="H148" s="6"/>
      <c r="I148" s="6"/>
      <c r="J148" s="6"/>
      <c r="K148" s="6"/>
      <c r="L148" s="6"/>
      <c r="M148" s="6"/>
      <c r="N148" s="6"/>
    </row>
    <row r="149" spans="1:14">
      <c r="A149" s="5"/>
      <c r="B149" s="5"/>
      <c r="C149" s="5"/>
      <c r="D149" s="5"/>
      <c r="E149" s="5"/>
      <c r="F149" s="6"/>
      <c r="G149" s="6"/>
      <c r="H149" s="6"/>
      <c r="I149" s="6"/>
      <c r="J149" s="6"/>
      <c r="K149" s="6"/>
      <c r="L149" s="6"/>
      <c r="M149" s="6"/>
      <c r="N149" s="6"/>
    </row>
    <row r="150" spans="1:14">
      <c r="A150" s="5"/>
      <c r="B150" s="5"/>
      <c r="C150" s="5"/>
      <c r="D150" s="5"/>
      <c r="E150" s="5"/>
      <c r="F150" s="6"/>
      <c r="G150" s="6"/>
      <c r="H150" s="6"/>
      <c r="I150" s="6"/>
      <c r="J150" s="6"/>
      <c r="K150" s="6"/>
      <c r="L150" s="6"/>
      <c r="M150" s="6"/>
      <c r="N150" s="6"/>
    </row>
    <row r="151" spans="1:14">
      <c r="A151" s="5"/>
      <c r="B151" s="5"/>
      <c r="C151" s="5"/>
      <c r="D151" s="5"/>
      <c r="E151" s="5"/>
      <c r="F151" s="6"/>
      <c r="G151" s="6"/>
      <c r="H151" s="6"/>
      <c r="I151" s="6"/>
      <c r="J151" s="6"/>
      <c r="K151" s="6"/>
      <c r="L151" s="6"/>
      <c r="M151" s="6"/>
      <c r="N151" s="6"/>
    </row>
    <row r="152" spans="1:14">
      <c r="A152" s="5"/>
      <c r="B152" s="5"/>
      <c r="C152" s="5"/>
      <c r="D152" s="5"/>
      <c r="E152" s="5"/>
      <c r="F152" s="6"/>
      <c r="G152" s="6"/>
      <c r="H152" s="6"/>
      <c r="I152" s="6"/>
      <c r="J152" s="6"/>
      <c r="K152" s="6"/>
      <c r="L152" s="6"/>
      <c r="M152" s="6"/>
      <c r="N152" s="6"/>
    </row>
    <row r="153" spans="1:14">
      <c r="A153" s="5"/>
      <c r="B153" s="5"/>
      <c r="C153" s="5"/>
      <c r="D153" s="5"/>
      <c r="E153" s="5"/>
      <c r="F153" s="6"/>
      <c r="G153" s="6"/>
      <c r="H153" s="6"/>
      <c r="I153" s="6"/>
      <c r="J153" s="6"/>
      <c r="K153" s="6"/>
      <c r="L153" s="6"/>
      <c r="M153" s="6"/>
      <c r="N153" s="6"/>
    </row>
    <row r="154" spans="1:14">
      <c r="A154" s="5"/>
      <c r="B154" s="5"/>
      <c r="C154" s="5"/>
      <c r="D154" s="5"/>
      <c r="E154" s="5"/>
      <c r="F154" s="6"/>
      <c r="G154" s="6"/>
      <c r="H154" s="6"/>
      <c r="I154" s="6"/>
      <c r="J154" s="6"/>
      <c r="K154" s="6"/>
      <c r="L154" s="6"/>
      <c r="M154" s="6"/>
      <c r="N154" s="6"/>
    </row>
    <row r="155" spans="1:14">
      <c r="A155" s="5"/>
      <c r="B155" s="5"/>
      <c r="C155" s="5"/>
      <c r="D155" s="5"/>
      <c r="E155" s="5"/>
      <c r="F155" s="6"/>
      <c r="G155" s="6"/>
      <c r="H155" s="6"/>
      <c r="I155" s="6"/>
      <c r="J155" s="6"/>
      <c r="K155" s="6"/>
      <c r="L155" s="6"/>
      <c r="M155" s="6"/>
      <c r="N155" s="6"/>
    </row>
    <row r="156" spans="1:14">
      <c r="A156" s="5"/>
      <c r="B156" s="5"/>
      <c r="C156" s="5"/>
      <c r="D156" s="5"/>
      <c r="E156" s="5"/>
      <c r="F156" s="6"/>
      <c r="G156" s="6"/>
      <c r="H156" s="6"/>
      <c r="I156" s="6"/>
      <c r="J156" s="6"/>
      <c r="K156" s="6"/>
      <c r="L156" s="6"/>
      <c r="M156" s="6"/>
      <c r="N156" s="6"/>
    </row>
    <row r="157" spans="1:14">
      <c r="A157" s="5"/>
      <c r="B157" s="5"/>
      <c r="C157" s="5"/>
      <c r="D157" s="5"/>
      <c r="E157" s="5"/>
      <c r="F157" s="6"/>
      <c r="G157" s="6"/>
      <c r="H157" s="6"/>
      <c r="I157" s="6"/>
      <c r="J157" s="6"/>
      <c r="K157" s="6"/>
      <c r="L157" s="6"/>
      <c r="M157" s="6"/>
      <c r="N157" s="6"/>
    </row>
    <row r="158" spans="1:14">
      <c r="A158" s="5"/>
      <c r="B158" s="5"/>
      <c r="C158" s="5"/>
      <c r="D158" s="5"/>
      <c r="E158" s="5"/>
      <c r="F158" s="6"/>
      <c r="G158" s="6"/>
      <c r="H158" s="6"/>
      <c r="I158" s="6"/>
      <c r="J158" s="6"/>
      <c r="K158" s="6"/>
      <c r="L158" s="6"/>
      <c r="M158" s="6"/>
      <c r="N158" s="6"/>
    </row>
    <row r="159" spans="1:14">
      <c r="A159" s="5"/>
      <c r="B159" s="5"/>
      <c r="C159" s="5"/>
      <c r="D159" s="5"/>
      <c r="E159" s="5"/>
      <c r="F159" s="6"/>
      <c r="G159" s="6"/>
      <c r="H159" s="6"/>
      <c r="I159" s="6"/>
      <c r="J159" s="6"/>
      <c r="K159" s="6"/>
      <c r="L159" s="6"/>
      <c r="M159" s="6"/>
      <c r="N159" s="6"/>
    </row>
    <row r="160" spans="1:14">
      <c r="A160" s="5"/>
      <c r="B160" s="5"/>
      <c r="C160" s="5"/>
      <c r="D160" s="5"/>
      <c r="E160" s="5"/>
      <c r="F160" s="6"/>
      <c r="G160" s="6"/>
      <c r="H160" s="6"/>
      <c r="I160" s="6"/>
      <c r="J160" s="6"/>
      <c r="K160" s="6"/>
      <c r="L160" s="6"/>
      <c r="M160" s="6"/>
      <c r="N160" s="6"/>
    </row>
    <row r="161" spans="1:14">
      <c r="A161" s="5"/>
      <c r="B161" s="5"/>
      <c r="C161" s="5"/>
      <c r="D161" s="5"/>
      <c r="E161" s="5"/>
      <c r="F161" s="6"/>
      <c r="G161" s="6"/>
      <c r="H161" s="6"/>
      <c r="I161" s="6"/>
      <c r="J161" s="6"/>
      <c r="K161" s="6"/>
      <c r="L161" s="6"/>
      <c r="M161" s="6"/>
      <c r="N161" s="6"/>
    </row>
    <row r="162" spans="1:14">
      <c r="A162" s="5"/>
      <c r="B162" s="5"/>
      <c r="C162" s="5"/>
      <c r="D162" s="5"/>
      <c r="E162" s="5"/>
      <c r="F162" s="6"/>
      <c r="G162" s="6"/>
      <c r="H162" s="6"/>
      <c r="I162" s="6"/>
      <c r="J162" s="6"/>
      <c r="K162" s="6"/>
      <c r="L162" s="6"/>
      <c r="M162" s="6"/>
      <c r="N162" s="6"/>
    </row>
    <row r="163" spans="1:14">
      <c r="A163" s="5"/>
      <c r="B163" s="5"/>
      <c r="C163" s="5"/>
      <c r="D163" s="5"/>
      <c r="E163" s="5"/>
      <c r="F163" s="6"/>
      <c r="G163" s="6"/>
      <c r="H163" s="6"/>
      <c r="I163" s="6"/>
      <c r="J163" s="6"/>
      <c r="K163" s="6"/>
      <c r="L163" s="6"/>
      <c r="M163" s="6"/>
      <c r="N163" s="6"/>
    </row>
    <row r="164" spans="1:14">
      <c r="A164" s="5"/>
      <c r="B164" s="5"/>
      <c r="C164" s="5"/>
      <c r="D164" s="5"/>
      <c r="E164" s="5"/>
      <c r="F164" s="6"/>
      <c r="G164" s="6"/>
      <c r="H164" s="6"/>
      <c r="I164" s="6"/>
      <c r="J164" s="6"/>
      <c r="K164" s="6"/>
      <c r="L164" s="6"/>
      <c r="M164" s="6"/>
      <c r="N164" s="6"/>
    </row>
    <row r="165" spans="1:14">
      <c r="A165" s="5"/>
      <c r="B165" s="5"/>
      <c r="C165" s="5"/>
      <c r="D165" s="5"/>
      <c r="E165" s="5"/>
      <c r="F165" s="6"/>
      <c r="G165" s="6"/>
      <c r="H165" s="6"/>
      <c r="I165" s="6"/>
      <c r="J165" s="6"/>
      <c r="K165" s="6"/>
      <c r="L165" s="6"/>
      <c r="M165" s="6"/>
      <c r="N165" s="6"/>
    </row>
    <row r="166" spans="1:14">
      <c r="A166" s="5"/>
      <c r="B166" s="5"/>
      <c r="C166" s="5"/>
      <c r="D166" s="5"/>
      <c r="E166" s="5"/>
      <c r="F166" s="6"/>
      <c r="G166" s="6"/>
      <c r="H166" s="6"/>
      <c r="I166" s="6"/>
      <c r="J166" s="6"/>
      <c r="K166" s="6"/>
      <c r="L166" s="6"/>
      <c r="M166" s="6"/>
      <c r="N166" s="6"/>
    </row>
    <row r="167" spans="1:14">
      <c r="A167" s="5"/>
      <c r="B167" s="5"/>
      <c r="C167" s="5"/>
      <c r="D167" s="5"/>
      <c r="E167" s="5"/>
      <c r="F167" s="6"/>
      <c r="G167" s="6"/>
      <c r="H167" s="6"/>
      <c r="I167" s="6"/>
      <c r="J167" s="6"/>
      <c r="K167" s="6"/>
      <c r="L167" s="6"/>
      <c r="M167" s="6"/>
      <c r="N167" s="6"/>
    </row>
    <row r="168" spans="1:14">
      <c r="A168" s="5"/>
      <c r="B168" s="5"/>
      <c r="C168" s="5"/>
      <c r="D168" s="5"/>
      <c r="E168" s="5"/>
      <c r="F168" s="6"/>
      <c r="G168" s="6"/>
      <c r="H168" s="6"/>
      <c r="I168" s="6"/>
      <c r="J168" s="6"/>
      <c r="K168" s="6"/>
      <c r="L168" s="6"/>
      <c r="M168" s="6"/>
      <c r="N168" s="6"/>
    </row>
    <row r="169" spans="1:14">
      <c r="A169" s="5"/>
      <c r="B169" s="5"/>
      <c r="C169" s="5"/>
      <c r="D169" s="5"/>
      <c r="E169" s="5"/>
      <c r="F169" s="6"/>
      <c r="G169" s="6"/>
      <c r="H169" s="6"/>
      <c r="I169" s="6"/>
      <c r="J169" s="6"/>
      <c r="K169" s="6"/>
      <c r="L169" s="6"/>
      <c r="M169" s="6"/>
      <c r="N169" s="6"/>
    </row>
    <row r="170" spans="1:14">
      <c r="A170" s="5"/>
      <c r="B170" s="5"/>
      <c r="C170" s="5"/>
      <c r="D170" s="5"/>
      <c r="E170" s="5"/>
      <c r="F170" s="6"/>
      <c r="G170" s="6"/>
      <c r="H170" s="6"/>
      <c r="I170" s="6"/>
      <c r="J170" s="6"/>
      <c r="K170" s="6"/>
      <c r="L170" s="6"/>
      <c r="M170" s="6"/>
      <c r="N170" s="6"/>
    </row>
    <row r="171" spans="1:14">
      <c r="A171" s="5"/>
      <c r="B171" s="5"/>
      <c r="C171" s="5"/>
      <c r="D171" s="5"/>
      <c r="E171" s="5"/>
      <c r="F171" s="6"/>
      <c r="G171" s="6"/>
      <c r="H171" s="6"/>
      <c r="I171" s="6"/>
      <c r="J171" s="6"/>
      <c r="K171" s="6"/>
      <c r="L171" s="6"/>
      <c r="M171" s="6"/>
      <c r="N171" s="6"/>
    </row>
    <row r="172" spans="1:14">
      <c r="A172" s="5"/>
      <c r="B172" s="5"/>
      <c r="C172" s="5"/>
      <c r="D172" s="5"/>
      <c r="E172" s="5"/>
      <c r="F172" s="6"/>
      <c r="G172" s="6"/>
      <c r="H172" s="6"/>
      <c r="I172" s="6"/>
      <c r="J172" s="6"/>
      <c r="K172" s="6"/>
      <c r="L172" s="6"/>
      <c r="M172" s="6"/>
      <c r="N172" s="6"/>
    </row>
    <row r="173" spans="1:14">
      <c r="A173" s="5"/>
      <c r="B173" s="5"/>
      <c r="C173" s="5"/>
      <c r="D173" s="5"/>
      <c r="E173" s="5"/>
      <c r="F173" s="6"/>
      <c r="G173" s="6"/>
      <c r="H173" s="6"/>
      <c r="I173" s="6"/>
      <c r="J173" s="6"/>
      <c r="K173" s="6"/>
      <c r="L173" s="6"/>
      <c r="M173" s="6"/>
      <c r="N173" s="6"/>
    </row>
    <row r="174" spans="1:14">
      <c r="A174" s="5"/>
      <c r="B174" s="5"/>
      <c r="C174" s="5"/>
      <c r="D174" s="5"/>
      <c r="E174" s="5"/>
      <c r="F174" s="6"/>
      <c r="G174" s="6"/>
      <c r="H174" s="6"/>
      <c r="I174" s="6"/>
      <c r="J174" s="6"/>
      <c r="K174" s="6"/>
      <c r="L174" s="6"/>
      <c r="M174" s="6"/>
      <c r="N174" s="6"/>
    </row>
    <row r="175" spans="1:14">
      <c r="A175" s="5"/>
      <c r="B175" s="5"/>
      <c r="C175" s="5"/>
      <c r="D175" s="5"/>
      <c r="E175" s="5"/>
      <c r="F175" s="6"/>
      <c r="G175" s="6"/>
      <c r="H175" s="6"/>
      <c r="I175" s="6"/>
      <c r="J175" s="6"/>
      <c r="K175" s="6"/>
      <c r="L175" s="6"/>
      <c r="M175" s="6"/>
      <c r="N175" s="6"/>
    </row>
    <row r="176" spans="1:14">
      <c r="A176" s="5"/>
      <c r="B176" s="5"/>
      <c r="C176" s="5"/>
      <c r="D176" s="5"/>
      <c r="E176" s="5"/>
      <c r="F176" s="6"/>
      <c r="G176" s="6"/>
      <c r="H176" s="6"/>
      <c r="I176" s="6"/>
      <c r="J176" s="6"/>
      <c r="K176" s="6"/>
      <c r="L176" s="6"/>
      <c r="M176" s="6"/>
      <c r="N176" s="6"/>
    </row>
    <row r="177" spans="1:14">
      <c r="A177" s="5"/>
      <c r="B177" s="5"/>
      <c r="C177" s="5"/>
      <c r="D177" s="5"/>
      <c r="E177" s="5"/>
      <c r="F177" s="6"/>
      <c r="G177" s="6"/>
      <c r="H177" s="6"/>
      <c r="I177" s="6"/>
      <c r="J177" s="6"/>
      <c r="K177" s="6"/>
      <c r="L177" s="6"/>
      <c r="M177" s="6"/>
      <c r="N177" s="6"/>
    </row>
    <row r="178" spans="1:14">
      <c r="A178" s="5"/>
      <c r="B178" s="5"/>
      <c r="C178" s="5"/>
      <c r="D178" s="5"/>
      <c r="E178" s="5"/>
      <c r="F178" s="6"/>
      <c r="G178" s="6"/>
      <c r="H178" s="6"/>
      <c r="I178" s="6"/>
      <c r="J178" s="6"/>
      <c r="K178" s="6"/>
      <c r="L178" s="6"/>
      <c r="M178" s="6"/>
      <c r="N178" s="6"/>
    </row>
    <row r="179" spans="1:14">
      <c r="A179" s="5"/>
      <c r="B179" s="5"/>
      <c r="C179" s="5"/>
      <c r="D179" s="5"/>
      <c r="E179" s="5"/>
      <c r="F179" s="6"/>
      <c r="G179" s="6"/>
      <c r="H179" s="6"/>
      <c r="I179" s="6"/>
      <c r="J179" s="6"/>
      <c r="K179" s="6"/>
      <c r="L179" s="6"/>
      <c r="M179" s="6"/>
      <c r="N179" s="6"/>
    </row>
    <row r="180" spans="1:14">
      <c r="A180" s="5"/>
      <c r="B180" s="5"/>
      <c r="C180" s="5"/>
      <c r="D180" s="5"/>
      <c r="E180" s="5"/>
      <c r="F180" s="6"/>
      <c r="G180" s="6"/>
      <c r="H180" s="6"/>
      <c r="I180" s="6"/>
      <c r="J180" s="6"/>
      <c r="K180" s="6"/>
      <c r="L180" s="6"/>
      <c r="M180" s="6"/>
      <c r="N180" s="6"/>
    </row>
    <row r="181" spans="1:14">
      <c r="A181" s="5"/>
      <c r="B181" s="5"/>
      <c r="C181" s="5"/>
      <c r="D181" s="5"/>
      <c r="E181" s="5"/>
      <c r="F181" s="6"/>
      <c r="G181" s="6"/>
      <c r="H181" s="6"/>
      <c r="I181" s="6"/>
      <c r="J181" s="6"/>
      <c r="K181" s="6"/>
      <c r="L181" s="6"/>
      <c r="M181" s="6"/>
      <c r="N181" s="6"/>
    </row>
    <row r="182" spans="1:14">
      <c r="A182" s="5"/>
      <c r="B182" s="5"/>
      <c r="C182" s="5"/>
      <c r="D182" s="5"/>
      <c r="E182" s="5"/>
      <c r="F182" s="6"/>
      <c r="G182" s="6"/>
      <c r="H182" s="6"/>
      <c r="I182" s="6"/>
      <c r="J182" s="6"/>
      <c r="K182" s="6"/>
      <c r="L182" s="6"/>
      <c r="M182" s="6"/>
      <c r="N182" s="6"/>
    </row>
    <row r="183" spans="1:14">
      <c r="A183" s="5"/>
      <c r="B183" s="5"/>
      <c r="C183" s="5"/>
      <c r="D183" s="5"/>
      <c r="E183" s="5"/>
      <c r="F183" s="6"/>
      <c r="G183" s="6"/>
      <c r="H183" s="6"/>
      <c r="I183" s="6"/>
      <c r="J183" s="6"/>
      <c r="K183" s="6"/>
      <c r="L183" s="6"/>
      <c r="M183" s="6"/>
      <c r="N183" s="6"/>
    </row>
    <row r="184" spans="1:14">
      <c r="A184" s="5"/>
      <c r="B184" s="5"/>
      <c r="C184" s="5"/>
      <c r="D184" s="5"/>
      <c r="E184" s="5"/>
      <c r="F184" s="6"/>
      <c r="G184" s="6"/>
      <c r="H184" s="6"/>
      <c r="I184" s="6"/>
      <c r="J184" s="6"/>
      <c r="K184" s="6"/>
      <c r="L184" s="6"/>
      <c r="M184" s="6"/>
      <c r="N184" s="6"/>
    </row>
    <row r="185" spans="1:14">
      <c r="A185" s="5"/>
      <c r="B185" s="5"/>
      <c r="C185" s="5"/>
      <c r="D185" s="5"/>
      <c r="E185" s="5"/>
      <c r="F185" s="6"/>
      <c r="G185" s="6"/>
      <c r="H185" s="6"/>
      <c r="I185" s="6"/>
      <c r="J185" s="6"/>
      <c r="K185" s="6"/>
      <c r="L185" s="6"/>
      <c r="M185" s="6"/>
      <c r="N185" s="6"/>
    </row>
    <row r="186" spans="1:14">
      <c r="A186" s="5"/>
      <c r="B186" s="5"/>
      <c r="C186" s="5"/>
      <c r="D186" s="5"/>
      <c r="E186" s="5"/>
      <c r="F186" s="6"/>
      <c r="G186" s="6"/>
      <c r="H186" s="6"/>
      <c r="I186" s="6"/>
      <c r="J186" s="6"/>
      <c r="K186" s="6"/>
      <c r="L186" s="6"/>
      <c r="M186" s="6"/>
      <c r="N186" s="6"/>
    </row>
    <row r="187" spans="1:14">
      <c r="A187" s="5"/>
      <c r="B187" s="5"/>
      <c r="C187" s="5"/>
      <c r="D187" s="5"/>
      <c r="E187" s="5"/>
      <c r="F187" s="6"/>
      <c r="G187" s="6"/>
      <c r="H187" s="6"/>
      <c r="I187" s="6"/>
      <c r="J187" s="6"/>
      <c r="K187" s="6"/>
      <c r="L187" s="6"/>
      <c r="M187" s="6"/>
      <c r="N187" s="6"/>
    </row>
    <row r="188" spans="1:14">
      <c r="A188" s="5"/>
      <c r="B188" s="5"/>
      <c r="C188" s="5"/>
      <c r="D188" s="5"/>
      <c r="E188" s="5"/>
      <c r="F188" s="6"/>
      <c r="G188" s="6"/>
      <c r="H188" s="6"/>
      <c r="I188" s="6"/>
      <c r="J188" s="6"/>
      <c r="K188" s="6"/>
      <c r="L188" s="6"/>
      <c r="M188" s="6"/>
      <c r="N188" s="6"/>
    </row>
    <row r="189" spans="1:14">
      <c r="A189" s="5"/>
      <c r="B189" s="5"/>
      <c r="C189" s="5"/>
      <c r="D189" s="5"/>
      <c r="E189" s="5"/>
      <c r="F189" s="6"/>
      <c r="G189" s="6"/>
      <c r="H189" s="6"/>
      <c r="I189" s="6"/>
      <c r="J189" s="6"/>
      <c r="K189" s="6"/>
      <c r="L189" s="6"/>
      <c r="M189" s="6"/>
      <c r="N189" s="6"/>
    </row>
    <row r="190" spans="1:14">
      <c r="A190" s="5"/>
      <c r="B190" s="5"/>
      <c r="C190" s="5"/>
      <c r="D190" s="5"/>
      <c r="E190" s="5"/>
      <c r="F190" s="6"/>
      <c r="G190" s="6"/>
      <c r="H190" s="6"/>
      <c r="I190" s="6"/>
      <c r="J190" s="6"/>
      <c r="K190" s="6"/>
      <c r="L190" s="6"/>
      <c r="M190" s="6"/>
      <c r="N190" s="6"/>
    </row>
    <row r="191" spans="1:14">
      <c r="A191" s="5"/>
      <c r="B191" s="5"/>
      <c r="C191" s="5"/>
      <c r="D191" s="5"/>
      <c r="E191" s="5"/>
      <c r="F191" s="6"/>
      <c r="G191" s="6"/>
      <c r="H191" s="6"/>
      <c r="I191" s="6"/>
      <c r="J191" s="6"/>
      <c r="K191" s="6"/>
      <c r="L191" s="6"/>
      <c r="M191" s="6"/>
      <c r="N191" s="6"/>
    </row>
    <row r="192" spans="1:14">
      <c r="A192" s="5"/>
      <c r="B192" s="5"/>
      <c r="C192" s="5"/>
      <c r="D192" s="5"/>
      <c r="E192" s="5"/>
      <c r="F192" s="6"/>
      <c r="G192" s="6"/>
      <c r="H192" s="6"/>
      <c r="I192" s="6"/>
      <c r="J192" s="6"/>
      <c r="K192" s="6"/>
      <c r="L192" s="6"/>
      <c r="M192" s="6"/>
      <c r="N192" s="6"/>
    </row>
    <row r="193" spans="1:14">
      <c r="A193" s="5"/>
      <c r="B193" s="5"/>
      <c r="C193" s="5"/>
      <c r="D193" s="5"/>
      <c r="E193" s="5"/>
      <c r="F193" s="6"/>
      <c r="G193" s="6"/>
      <c r="H193" s="6"/>
      <c r="I193" s="6"/>
      <c r="J193" s="6"/>
      <c r="K193" s="6"/>
      <c r="L193" s="6"/>
      <c r="M193" s="6"/>
      <c r="N193" s="6"/>
    </row>
    <row r="194" spans="1:14">
      <c r="A194" s="5"/>
      <c r="B194" s="5"/>
      <c r="C194" s="5"/>
      <c r="D194" s="5"/>
      <c r="E194" s="5"/>
      <c r="F194" s="6"/>
      <c r="G194" s="6"/>
      <c r="H194" s="6"/>
      <c r="I194" s="6"/>
      <c r="J194" s="6"/>
      <c r="K194" s="6"/>
      <c r="L194" s="6"/>
      <c r="M194" s="6"/>
      <c r="N194" s="6"/>
    </row>
    <row r="195" spans="1:14">
      <c r="A195" s="5"/>
      <c r="B195" s="5"/>
      <c r="C195" s="5"/>
      <c r="D195" s="5"/>
      <c r="E195" s="5"/>
      <c r="F195" s="6"/>
      <c r="G195" s="6"/>
      <c r="H195" s="6"/>
      <c r="I195" s="6"/>
      <c r="J195" s="6"/>
      <c r="K195" s="6"/>
      <c r="L195" s="6"/>
      <c r="M195" s="6"/>
      <c r="N195" s="6"/>
    </row>
    <row r="196" spans="1:14">
      <c r="A196" s="5"/>
      <c r="B196" s="5"/>
      <c r="C196" s="5"/>
      <c r="D196" s="5"/>
      <c r="E196" s="5"/>
      <c r="F196" s="6"/>
      <c r="G196" s="6"/>
      <c r="H196" s="6"/>
      <c r="I196" s="6"/>
      <c r="J196" s="6"/>
      <c r="K196" s="6"/>
      <c r="L196" s="6"/>
      <c r="M196" s="6"/>
      <c r="N196" s="6"/>
    </row>
    <row r="197" spans="1:14">
      <c r="A197" s="5"/>
      <c r="B197" s="5"/>
      <c r="C197" s="5"/>
      <c r="D197" s="5"/>
      <c r="E197" s="5"/>
      <c r="F197" s="6"/>
      <c r="G197" s="6"/>
      <c r="H197" s="6"/>
      <c r="I197" s="6"/>
      <c r="J197" s="6"/>
      <c r="K197" s="6"/>
      <c r="L197" s="6"/>
      <c r="M197" s="6"/>
      <c r="N197" s="6"/>
    </row>
    <row r="198" spans="1:14">
      <c r="A198" s="5"/>
      <c r="B198" s="5"/>
      <c r="C198" s="5"/>
      <c r="D198" s="5"/>
      <c r="E198" s="5"/>
      <c r="F198" s="6"/>
      <c r="G198" s="6"/>
      <c r="H198" s="6"/>
      <c r="I198" s="6"/>
      <c r="J198" s="6"/>
      <c r="K198" s="6"/>
      <c r="L198" s="6"/>
      <c r="M198" s="6"/>
      <c r="N198" s="6"/>
    </row>
    <row r="199" spans="1:14">
      <c r="A199" s="5"/>
      <c r="B199" s="5"/>
      <c r="C199" s="5"/>
      <c r="D199" s="5"/>
      <c r="E199" s="5"/>
      <c r="F199" s="6"/>
      <c r="G199" s="6"/>
      <c r="H199" s="6"/>
      <c r="I199" s="6"/>
      <c r="J199" s="6"/>
      <c r="K199" s="6"/>
      <c r="L199" s="6"/>
      <c r="M199" s="6"/>
      <c r="N199" s="6"/>
    </row>
    <row r="200" spans="1:14">
      <c r="A200" s="5"/>
      <c r="B200" s="5"/>
      <c r="C200" s="5"/>
      <c r="D200" s="5"/>
      <c r="E200" s="5"/>
      <c r="F200" s="6"/>
      <c r="G200" s="6"/>
      <c r="H200" s="6"/>
      <c r="I200" s="6"/>
      <c r="J200" s="6"/>
      <c r="K200" s="6"/>
      <c r="L200" s="6"/>
      <c r="M200" s="6"/>
      <c r="N200" s="6"/>
    </row>
    <row r="201" spans="1:14">
      <c r="A201" s="5"/>
      <c r="B201" s="5"/>
      <c r="C201" s="5"/>
      <c r="D201" s="5"/>
      <c r="E201" s="5"/>
      <c r="F201" s="6"/>
      <c r="G201" s="6"/>
      <c r="H201" s="6"/>
      <c r="I201" s="6"/>
      <c r="J201" s="6"/>
      <c r="K201" s="6"/>
      <c r="L201" s="6"/>
      <c r="M201" s="6"/>
      <c r="N201" s="6"/>
    </row>
    <row r="202" spans="1:14">
      <c r="A202" s="5"/>
      <c r="B202" s="5"/>
      <c r="C202" s="5"/>
      <c r="D202" s="5"/>
      <c r="E202" s="5"/>
      <c r="F202" s="6"/>
      <c r="G202" s="6"/>
      <c r="H202" s="6"/>
      <c r="I202" s="6"/>
      <c r="J202" s="6"/>
      <c r="K202" s="6"/>
      <c r="L202" s="6"/>
      <c r="M202" s="6"/>
      <c r="N202" s="6"/>
    </row>
    <row r="203" spans="1:14">
      <c r="A203" s="5"/>
      <c r="B203" s="5"/>
      <c r="C203" s="5"/>
      <c r="D203" s="5"/>
      <c r="E203" s="5"/>
      <c r="F203" s="6"/>
      <c r="G203" s="6"/>
      <c r="H203" s="6"/>
      <c r="I203" s="6"/>
      <c r="J203" s="6"/>
      <c r="K203" s="6"/>
      <c r="L203" s="6"/>
      <c r="M203" s="6"/>
      <c r="N203" s="6"/>
    </row>
    <row r="204" spans="1:14">
      <c r="A204" s="5"/>
      <c r="B204" s="5"/>
      <c r="C204" s="5"/>
      <c r="D204" s="5"/>
      <c r="E204" s="5"/>
      <c r="F204" s="6"/>
      <c r="G204" s="6"/>
      <c r="H204" s="6"/>
      <c r="I204" s="6"/>
      <c r="J204" s="6"/>
      <c r="K204" s="6"/>
      <c r="L204" s="6"/>
      <c r="M204" s="6"/>
      <c r="N204" s="6"/>
    </row>
    <row r="205" spans="1:14">
      <c r="A205" s="5"/>
      <c r="B205" s="5"/>
      <c r="C205" s="5"/>
      <c r="D205" s="5"/>
      <c r="E205" s="5"/>
      <c r="F205" s="6"/>
      <c r="G205" s="6"/>
      <c r="H205" s="6"/>
      <c r="I205" s="6"/>
      <c r="J205" s="6"/>
      <c r="K205" s="6"/>
      <c r="L205" s="6"/>
      <c r="M205" s="6"/>
      <c r="N205" s="6"/>
    </row>
    <row r="206" spans="1:14">
      <c r="A206" s="5"/>
      <c r="B206" s="5"/>
      <c r="C206" s="5"/>
      <c r="D206" s="5"/>
      <c r="E206" s="5"/>
      <c r="F206" s="6"/>
      <c r="G206" s="6"/>
      <c r="H206" s="6"/>
      <c r="I206" s="6"/>
      <c r="J206" s="6"/>
      <c r="K206" s="6"/>
      <c r="L206" s="6"/>
      <c r="M206" s="6"/>
      <c r="N206" s="6"/>
    </row>
    <row r="207" spans="1:14">
      <c r="A207" s="5"/>
      <c r="B207" s="5"/>
      <c r="C207" s="5"/>
      <c r="D207" s="5"/>
      <c r="E207" s="5"/>
      <c r="F207" s="6"/>
      <c r="G207" s="6"/>
      <c r="H207" s="6"/>
      <c r="I207" s="6"/>
      <c r="J207" s="6"/>
      <c r="K207" s="6"/>
      <c r="L207" s="6"/>
      <c r="M207" s="6"/>
      <c r="N207" s="6"/>
    </row>
    <row r="208" spans="1:14">
      <c r="A208" s="5"/>
      <c r="B208" s="5"/>
      <c r="C208" s="5"/>
      <c r="D208" s="5"/>
      <c r="E208" s="5"/>
      <c r="F208" s="6"/>
      <c r="G208" s="6"/>
      <c r="H208" s="6"/>
      <c r="I208" s="6"/>
      <c r="J208" s="6"/>
      <c r="K208" s="6"/>
      <c r="L208" s="6"/>
      <c r="M208" s="6"/>
      <c r="N208" s="6"/>
    </row>
    <row r="209" spans="1:14">
      <c r="A209" s="5"/>
      <c r="B209" s="5"/>
      <c r="C209" s="5"/>
      <c r="D209" s="5"/>
      <c r="E209" s="5"/>
      <c r="F209" s="6"/>
      <c r="G209" s="6"/>
      <c r="H209" s="6"/>
      <c r="I209" s="6"/>
      <c r="J209" s="6"/>
      <c r="K209" s="6"/>
      <c r="L209" s="6"/>
      <c r="M209" s="6"/>
      <c r="N209" s="6"/>
    </row>
    <row r="210" spans="1:14">
      <c r="A210" s="5"/>
      <c r="B210" s="5"/>
      <c r="C210" s="5"/>
      <c r="D210" s="5"/>
      <c r="E210" s="5"/>
      <c r="F210" s="6"/>
      <c r="G210" s="6"/>
      <c r="H210" s="6"/>
      <c r="I210" s="6"/>
      <c r="J210" s="6"/>
      <c r="K210" s="6"/>
      <c r="L210" s="6"/>
      <c r="M210" s="6"/>
      <c r="N210" s="6"/>
    </row>
    <row r="211" spans="1:14">
      <c r="A211" s="5"/>
      <c r="B211" s="5"/>
      <c r="C211" s="5"/>
      <c r="D211" s="5"/>
      <c r="E211" s="5"/>
      <c r="F211" s="6"/>
      <c r="G211" s="6"/>
      <c r="H211" s="6"/>
      <c r="I211" s="6"/>
      <c r="J211" s="6"/>
      <c r="K211" s="6"/>
      <c r="L211" s="6"/>
      <c r="M211" s="6"/>
      <c r="N211" s="6"/>
    </row>
    <row r="212" spans="1:14">
      <c r="A212" s="5"/>
      <c r="B212" s="5"/>
      <c r="C212" s="5"/>
      <c r="D212" s="5"/>
      <c r="E212" s="5"/>
      <c r="F212" s="6"/>
      <c r="G212" s="6"/>
      <c r="H212" s="6"/>
      <c r="I212" s="6"/>
      <c r="J212" s="6"/>
      <c r="K212" s="6"/>
      <c r="L212" s="6"/>
      <c r="M212" s="6"/>
      <c r="N212" s="6"/>
    </row>
    <row r="213" spans="1:14">
      <c r="A213" s="5"/>
      <c r="B213" s="5"/>
      <c r="C213" s="5"/>
      <c r="D213" s="5"/>
      <c r="E213" s="5"/>
      <c r="F213" s="6"/>
      <c r="G213" s="6"/>
      <c r="H213" s="6"/>
      <c r="I213" s="6"/>
      <c r="J213" s="6"/>
      <c r="K213" s="6"/>
      <c r="L213" s="6"/>
      <c r="M213" s="6"/>
      <c r="N213" s="6"/>
    </row>
    <row r="214" spans="1:14">
      <c r="A214" s="5"/>
      <c r="B214" s="5"/>
      <c r="C214" s="5"/>
      <c r="D214" s="5"/>
      <c r="E214" s="5"/>
      <c r="F214" s="6"/>
      <c r="G214" s="6"/>
      <c r="H214" s="6"/>
      <c r="I214" s="6"/>
      <c r="J214" s="6"/>
      <c r="K214" s="6"/>
      <c r="L214" s="6"/>
      <c r="M214" s="6"/>
      <c r="N214" s="6"/>
    </row>
    <row r="215" spans="1:14">
      <c r="A215" s="5"/>
      <c r="B215" s="5"/>
      <c r="C215" s="5"/>
      <c r="D215" s="5"/>
      <c r="E215" s="5"/>
      <c r="F215" s="6"/>
      <c r="G215" s="6"/>
      <c r="H215" s="6"/>
      <c r="I215" s="6"/>
      <c r="J215" s="6"/>
      <c r="K215" s="6"/>
      <c r="L215" s="6"/>
      <c r="M215" s="6"/>
      <c r="N215" s="6"/>
    </row>
    <row r="216" spans="1:14">
      <c r="A216" s="5"/>
      <c r="B216" s="5"/>
      <c r="C216" s="5"/>
      <c r="D216" s="5"/>
      <c r="E216" s="5"/>
      <c r="F216" s="6"/>
      <c r="G216" s="6"/>
      <c r="H216" s="6"/>
      <c r="I216" s="6"/>
      <c r="J216" s="6"/>
      <c r="K216" s="6"/>
      <c r="L216" s="6"/>
      <c r="M216" s="6"/>
      <c r="N216" s="6"/>
    </row>
    <row r="217" spans="1:14">
      <c r="A217" s="5"/>
      <c r="B217" s="5"/>
      <c r="C217" s="5"/>
      <c r="D217" s="5"/>
      <c r="E217" s="5"/>
      <c r="F217" s="6"/>
      <c r="G217" s="6"/>
      <c r="H217" s="6"/>
      <c r="I217" s="6"/>
      <c r="J217" s="6"/>
      <c r="K217" s="6"/>
      <c r="L217" s="6"/>
      <c r="M217" s="6"/>
      <c r="N217" s="6"/>
    </row>
    <row r="218" spans="1:14">
      <c r="A218" s="5"/>
      <c r="B218" s="5"/>
      <c r="C218" s="5"/>
      <c r="D218" s="5"/>
      <c r="E218" s="5"/>
      <c r="F218" s="6"/>
      <c r="G218" s="6"/>
      <c r="H218" s="6"/>
      <c r="I218" s="6"/>
      <c r="J218" s="6"/>
      <c r="K218" s="6"/>
      <c r="L218" s="6"/>
      <c r="M218" s="6"/>
      <c r="N218" s="6"/>
    </row>
    <row r="219" spans="1:14">
      <c r="A219" s="5"/>
      <c r="B219" s="5"/>
      <c r="C219" s="5"/>
      <c r="D219" s="5"/>
      <c r="E219" s="5"/>
      <c r="F219" s="6"/>
      <c r="G219" s="6"/>
      <c r="H219" s="6"/>
      <c r="I219" s="6"/>
      <c r="J219" s="6"/>
      <c r="K219" s="6"/>
      <c r="L219" s="6"/>
      <c r="M219" s="6"/>
      <c r="N219" s="6"/>
    </row>
    <row r="220" spans="1:14">
      <c r="A220" s="5"/>
      <c r="B220" s="5"/>
      <c r="C220" s="5"/>
      <c r="D220" s="5"/>
      <c r="E220" s="5"/>
      <c r="F220" s="6"/>
      <c r="G220" s="6"/>
      <c r="H220" s="6"/>
      <c r="I220" s="6"/>
      <c r="J220" s="6"/>
      <c r="K220" s="6"/>
      <c r="L220" s="6"/>
      <c r="M220" s="6"/>
      <c r="N220" s="6"/>
    </row>
    <row r="221" spans="1:14">
      <c r="A221" s="5"/>
      <c r="B221" s="5"/>
      <c r="C221" s="5"/>
      <c r="D221" s="5"/>
      <c r="E221" s="5"/>
      <c r="F221" s="6"/>
      <c r="G221" s="6"/>
      <c r="H221" s="6"/>
      <c r="I221" s="6"/>
      <c r="J221" s="6"/>
      <c r="K221" s="6"/>
      <c r="L221" s="6"/>
      <c r="M221" s="6"/>
      <c r="N221" s="6"/>
    </row>
    <row r="222" spans="1:14">
      <c r="A222" s="5"/>
      <c r="B222" s="5"/>
      <c r="C222" s="5"/>
      <c r="D222" s="5"/>
      <c r="E222" s="5"/>
      <c r="F222" s="6"/>
      <c r="G222" s="6"/>
      <c r="H222" s="6"/>
      <c r="I222" s="6"/>
      <c r="J222" s="6"/>
      <c r="K222" s="6"/>
      <c r="L222" s="6"/>
      <c r="M222" s="6"/>
      <c r="N222" s="6"/>
    </row>
    <row r="223" spans="1:14">
      <c r="A223" s="5"/>
      <c r="B223" s="5"/>
      <c r="C223" s="5"/>
      <c r="D223" s="5"/>
      <c r="E223" s="5"/>
      <c r="F223" s="6"/>
      <c r="G223" s="6"/>
      <c r="H223" s="6"/>
      <c r="I223" s="6"/>
      <c r="J223" s="6"/>
      <c r="K223" s="6"/>
      <c r="L223" s="6"/>
      <c r="M223" s="6"/>
      <c r="N223" s="6"/>
    </row>
    <row r="224" spans="1:14">
      <c r="A224" s="5"/>
      <c r="B224" s="5"/>
      <c r="C224" s="5"/>
      <c r="D224" s="5"/>
      <c r="E224" s="5"/>
      <c r="F224" s="6"/>
      <c r="G224" s="6"/>
      <c r="H224" s="6"/>
      <c r="I224" s="6"/>
      <c r="J224" s="6"/>
      <c r="K224" s="6"/>
      <c r="L224" s="6"/>
      <c r="M224" s="6"/>
      <c r="N224" s="6"/>
    </row>
    <row r="225" spans="1:14">
      <c r="A225" s="5"/>
      <c r="B225" s="5"/>
      <c r="C225" s="5"/>
      <c r="D225" s="5"/>
      <c r="E225" s="5"/>
      <c r="F225" s="6"/>
      <c r="G225" s="6"/>
      <c r="H225" s="6"/>
      <c r="I225" s="6"/>
      <c r="J225" s="6"/>
      <c r="K225" s="6"/>
      <c r="L225" s="6"/>
      <c r="M225" s="6"/>
      <c r="N225" s="6"/>
    </row>
    <row r="226" spans="1:14">
      <c r="A226" s="5"/>
      <c r="B226" s="5"/>
      <c r="C226" s="5"/>
      <c r="D226" s="5"/>
      <c r="E226" s="5"/>
      <c r="F226" s="6"/>
      <c r="G226" s="6"/>
      <c r="H226" s="6"/>
      <c r="I226" s="6"/>
      <c r="J226" s="6"/>
      <c r="K226" s="6"/>
      <c r="L226" s="6"/>
      <c r="M226" s="6"/>
      <c r="N226" s="6"/>
    </row>
    <row r="227" spans="1:14">
      <c r="A227" s="5"/>
      <c r="B227" s="5"/>
      <c r="C227" s="5"/>
      <c r="D227" s="5"/>
      <c r="E227" s="5"/>
      <c r="F227" s="6"/>
      <c r="G227" s="6"/>
      <c r="H227" s="6"/>
      <c r="I227" s="6"/>
      <c r="J227" s="6"/>
      <c r="K227" s="6"/>
      <c r="L227" s="6"/>
      <c r="M227" s="6"/>
      <c r="N227" s="6"/>
    </row>
    <row r="228" spans="1:14">
      <c r="A228" s="5"/>
      <c r="B228" s="5"/>
      <c r="C228" s="5"/>
      <c r="D228" s="5"/>
      <c r="E228" s="5"/>
      <c r="F228" s="6"/>
      <c r="G228" s="6"/>
      <c r="H228" s="6"/>
      <c r="I228" s="6"/>
      <c r="J228" s="6"/>
      <c r="K228" s="6"/>
      <c r="L228" s="6"/>
      <c r="M228" s="6"/>
      <c r="N228" s="6"/>
    </row>
    <row r="229" spans="1:14">
      <c r="A229" s="5"/>
      <c r="B229" s="5"/>
      <c r="C229" s="5"/>
      <c r="D229" s="5"/>
      <c r="E229" s="5"/>
      <c r="F229" s="6"/>
      <c r="G229" s="6"/>
      <c r="H229" s="6"/>
      <c r="I229" s="6"/>
      <c r="J229" s="6"/>
      <c r="K229" s="6"/>
      <c r="L229" s="6"/>
      <c r="M229" s="6"/>
      <c r="N229" s="6"/>
    </row>
    <row r="230" spans="1:14">
      <c r="A230" s="5"/>
      <c r="B230" s="5"/>
      <c r="C230" s="5"/>
      <c r="D230" s="5"/>
      <c r="E230" s="5"/>
      <c r="F230" s="6"/>
      <c r="G230" s="6"/>
      <c r="H230" s="6"/>
      <c r="I230" s="6"/>
      <c r="J230" s="6"/>
      <c r="K230" s="6"/>
      <c r="L230" s="6"/>
      <c r="M230" s="6"/>
      <c r="N230" s="6"/>
    </row>
    <row r="231" spans="1:14">
      <c r="A231" s="5"/>
      <c r="B231" s="5"/>
      <c r="C231" s="5"/>
      <c r="D231" s="5"/>
      <c r="E231" s="5"/>
      <c r="F231" s="6"/>
      <c r="G231" s="6"/>
      <c r="H231" s="6"/>
      <c r="I231" s="6"/>
      <c r="J231" s="6"/>
      <c r="K231" s="6"/>
      <c r="L231" s="6"/>
      <c r="M231" s="6"/>
      <c r="N231" s="6"/>
    </row>
    <row r="232" spans="1:14">
      <c r="A232" s="5"/>
      <c r="B232" s="5"/>
      <c r="C232" s="5"/>
      <c r="D232" s="5"/>
      <c r="E232" s="5"/>
      <c r="F232" s="6"/>
      <c r="G232" s="6"/>
      <c r="H232" s="6"/>
      <c r="I232" s="6"/>
      <c r="J232" s="6"/>
      <c r="K232" s="6"/>
      <c r="L232" s="6"/>
      <c r="M232" s="6"/>
      <c r="N232" s="6"/>
    </row>
    <row r="233" spans="1:14">
      <c r="A233" s="5"/>
      <c r="B233" s="5"/>
      <c r="C233" s="5"/>
      <c r="D233" s="5"/>
      <c r="E233" s="5"/>
      <c r="F233" s="6"/>
      <c r="G233" s="6"/>
      <c r="H233" s="6"/>
      <c r="I233" s="6"/>
      <c r="J233" s="6"/>
      <c r="K233" s="6"/>
      <c r="L233" s="6"/>
      <c r="M233" s="6"/>
      <c r="N233" s="6"/>
    </row>
    <row r="234" spans="1:14">
      <c r="A234" s="5"/>
      <c r="B234" s="5"/>
      <c r="C234" s="5"/>
      <c r="D234" s="5"/>
      <c r="E234" s="5"/>
      <c r="F234" s="6"/>
      <c r="G234" s="6"/>
      <c r="H234" s="6"/>
      <c r="I234" s="6"/>
      <c r="J234" s="6"/>
      <c r="K234" s="6"/>
      <c r="L234" s="6"/>
      <c r="M234" s="6"/>
      <c r="N234" s="6"/>
    </row>
    <row r="235" spans="1:14">
      <c r="A235" s="5"/>
      <c r="B235" s="5"/>
      <c r="C235" s="5"/>
      <c r="D235" s="5"/>
      <c r="E235" s="5"/>
      <c r="F235" s="6"/>
      <c r="G235" s="6"/>
      <c r="H235" s="6"/>
      <c r="I235" s="6"/>
      <c r="J235" s="6"/>
      <c r="K235" s="6"/>
      <c r="L235" s="6"/>
      <c r="M235" s="6"/>
      <c r="N235" s="6"/>
    </row>
    <row r="236" spans="1:14">
      <c r="A236" s="5"/>
      <c r="B236" s="5"/>
      <c r="C236" s="5"/>
      <c r="D236" s="5"/>
      <c r="E236" s="5"/>
      <c r="F236" s="6"/>
      <c r="G236" s="6"/>
      <c r="H236" s="6"/>
      <c r="I236" s="6"/>
      <c r="J236" s="6"/>
      <c r="K236" s="6"/>
      <c r="L236" s="6"/>
      <c r="M236" s="6"/>
      <c r="N236" s="6"/>
    </row>
    <row r="237" spans="1:14">
      <c r="A237" s="5"/>
      <c r="B237" s="5"/>
      <c r="C237" s="5"/>
      <c r="D237" s="5"/>
      <c r="E237" s="5"/>
      <c r="F237" s="6"/>
      <c r="G237" s="6"/>
      <c r="H237" s="6"/>
      <c r="I237" s="6"/>
      <c r="J237" s="6"/>
      <c r="K237" s="6"/>
      <c r="L237" s="6"/>
      <c r="M237" s="6"/>
      <c r="N237" s="6"/>
    </row>
    <row r="238" spans="1:14">
      <c r="A238" s="5"/>
      <c r="B238" s="5"/>
      <c r="C238" s="5"/>
      <c r="D238" s="5"/>
      <c r="E238" s="5"/>
      <c r="F238" s="6"/>
      <c r="G238" s="6"/>
      <c r="H238" s="6"/>
      <c r="I238" s="6"/>
      <c r="J238" s="6"/>
      <c r="K238" s="6"/>
      <c r="L238" s="6"/>
      <c r="M238" s="6"/>
      <c r="N238" s="6"/>
    </row>
    <row r="239" spans="1:14">
      <c r="A239" s="5"/>
      <c r="B239" s="5"/>
      <c r="C239" s="5"/>
      <c r="D239" s="5"/>
      <c r="E239" s="5"/>
      <c r="F239" s="6"/>
      <c r="G239" s="6"/>
      <c r="H239" s="6"/>
      <c r="I239" s="6"/>
      <c r="J239" s="6"/>
      <c r="K239" s="6"/>
      <c r="L239" s="6"/>
      <c r="M239" s="6"/>
      <c r="N239" s="6"/>
    </row>
    <row r="240" spans="1:14">
      <c r="A240" s="5"/>
      <c r="B240" s="5"/>
      <c r="C240" s="5"/>
      <c r="D240" s="5"/>
      <c r="E240" s="5"/>
      <c r="F240" s="6"/>
      <c r="G240" s="6"/>
      <c r="H240" s="6"/>
      <c r="I240" s="6"/>
      <c r="J240" s="6"/>
      <c r="K240" s="6"/>
      <c r="L240" s="6"/>
      <c r="M240" s="6"/>
      <c r="N240" s="6"/>
    </row>
    <row r="241" spans="1:14">
      <c r="A241" s="5"/>
      <c r="B241" s="5"/>
      <c r="C241" s="5"/>
      <c r="D241" s="5"/>
      <c r="E241" s="5"/>
      <c r="F241" s="6"/>
      <c r="G241" s="6"/>
      <c r="H241" s="6"/>
      <c r="I241" s="6"/>
      <c r="J241" s="6"/>
      <c r="K241" s="6"/>
      <c r="L241" s="6"/>
      <c r="M241" s="6"/>
      <c r="N241" s="6"/>
    </row>
    <row r="242" spans="1:14">
      <c r="A242" s="5"/>
      <c r="B242" s="5"/>
      <c r="C242" s="5"/>
      <c r="D242" s="5"/>
      <c r="E242" s="5"/>
      <c r="F242" s="6"/>
      <c r="G242" s="6"/>
      <c r="H242" s="6"/>
      <c r="I242" s="6"/>
      <c r="J242" s="6"/>
      <c r="K242" s="6"/>
      <c r="L242" s="6"/>
      <c r="M242" s="6"/>
      <c r="N242" s="6"/>
    </row>
    <row r="243" spans="1:14">
      <c r="A243" s="5"/>
      <c r="B243" s="5"/>
      <c r="C243" s="5"/>
      <c r="D243" s="5"/>
      <c r="E243" s="5"/>
      <c r="F243" s="6"/>
      <c r="G243" s="6"/>
      <c r="H243" s="6"/>
      <c r="I243" s="6"/>
      <c r="J243" s="6"/>
      <c r="K243" s="6"/>
      <c r="L243" s="6"/>
      <c r="M243" s="6"/>
      <c r="N243" s="6"/>
    </row>
    <row r="244" spans="1:14">
      <c r="A244" s="5"/>
      <c r="B244" s="5"/>
      <c r="C244" s="5"/>
      <c r="D244" s="5"/>
      <c r="E244" s="5"/>
      <c r="F244" s="6"/>
      <c r="G244" s="6"/>
      <c r="H244" s="6"/>
      <c r="I244" s="6"/>
      <c r="J244" s="6"/>
      <c r="K244" s="6"/>
      <c r="L244" s="6"/>
      <c r="M244" s="6"/>
      <c r="N244" s="6"/>
    </row>
    <row r="245" spans="1:14">
      <c r="A245" s="5"/>
      <c r="B245" s="5"/>
      <c r="C245" s="5"/>
      <c r="D245" s="5"/>
      <c r="E245" s="5"/>
      <c r="F245" s="6"/>
      <c r="G245" s="6"/>
      <c r="H245" s="6"/>
      <c r="I245" s="6"/>
      <c r="J245" s="6"/>
      <c r="K245" s="6"/>
      <c r="L245" s="6"/>
      <c r="M245" s="6"/>
      <c r="N245" s="6"/>
    </row>
    <row r="246" spans="1:14">
      <c r="A246" s="5"/>
      <c r="B246" s="5"/>
      <c r="C246" s="5"/>
      <c r="D246" s="5"/>
      <c r="E246" s="5"/>
      <c r="F246" s="6"/>
      <c r="G246" s="6"/>
      <c r="H246" s="6"/>
      <c r="I246" s="6"/>
      <c r="J246" s="6"/>
      <c r="K246" s="6"/>
      <c r="L246" s="6"/>
      <c r="M246" s="6"/>
      <c r="N246" s="6"/>
    </row>
    <row r="247" spans="1:14">
      <c r="A247" s="5"/>
      <c r="B247" s="5"/>
      <c r="C247" s="5"/>
      <c r="D247" s="5"/>
      <c r="E247" s="5"/>
      <c r="F247" s="6"/>
      <c r="G247" s="6"/>
      <c r="H247" s="6"/>
      <c r="I247" s="6"/>
      <c r="J247" s="6"/>
      <c r="K247" s="6"/>
      <c r="L247" s="6"/>
      <c r="M247" s="6"/>
      <c r="N247" s="6"/>
    </row>
    <row r="248" spans="1:14">
      <c r="A248" s="5"/>
      <c r="B248" s="5"/>
      <c r="C248" s="5"/>
      <c r="D248" s="5"/>
      <c r="E248" s="5"/>
      <c r="F248" s="6"/>
      <c r="G248" s="6"/>
      <c r="H248" s="6"/>
      <c r="I248" s="6"/>
      <c r="J248" s="6"/>
      <c r="K248" s="6"/>
      <c r="L248" s="6"/>
      <c r="M248" s="6"/>
      <c r="N248" s="6"/>
    </row>
    <row r="249" spans="1:14">
      <c r="A249" s="5"/>
      <c r="B249" s="5"/>
      <c r="C249" s="5"/>
      <c r="D249" s="5"/>
      <c r="E249" s="5"/>
      <c r="F249" s="6"/>
      <c r="G249" s="6"/>
      <c r="H249" s="6"/>
      <c r="I249" s="6"/>
      <c r="J249" s="6"/>
      <c r="K249" s="6"/>
      <c r="L249" s="6"/>
      <c r="M249" s="6"/>
      <c r="N249" s="6"/>
    </row>
    <row r="250" spans="1:14">
      <c r="A250" s="5"/>
      <c r="B250" s="5"/>
      <c r="C250" s="5"/>
      <c r="D250" s="5"/>
      <c r="E250" s="5"/>
      <c r="F250" s="6"/>
      <c r="G250" s="6"/>
      <c r="H250" s="6"/>
      <c r="I250" s="6"/>
      <c r="J250" s="6"/>
      <c r="K250" s="6"/>
      <c r="L250" s="6"/>
      <c r="M250" s="6"/>
      <c r="N250" s="6"/>
    </row>
    <row r="251" spans="1:14">
      <c r="A251" s="5"/>
      <c r="B251" s="5"/>
      <c r="C251" s="5"/>
      <c r="D251" s="5"/>
      <c r="E251" s="5"/>
      <c r="F251" s="6"/>
      <c r="G251" s="6"/>
      <c r="H251" s="6"/>
      <c r="I251" s="6"/>
      <c r="J251" s="6"/>
      <c r="K251" s="6"/>
      <c r="L251" s="6"/>
      <c r="M251" s="6"/>
      <c r="N251" s="6"/>
    </row>
    <row r="252" spans="1:14">
      <c r="A252" s="5"/>
      <c r="B252" s="5"/>
      <c r="C252" s="5"/>
      <c r="D252" s="5"/>
      <c r="E252" s="5"/>
      <c r="F252" s="6"/>
      <c r="G252" s="6"/>
      <c r="H252" s="6"/>
      <c r="I252" s="6"/>
      <c r="J252" s="6"/>
      <c r="K252" s="6"/>
      <c r="L252" s="6"/>
      <c r="M252" s="6"/>
      <c r="N252" s="6"/>
    </row>
    <row r="253" spans="1:14">
      <c r="A253" s="5"/>
      <c r="B253" s="5"/>
      <c r="C253" s="5"/>
      <c r="D253" s="5"/>
      <c r="E253" s="5"/>
      <c r="F253" s="6"/>
      <c r="G253" s="6"/>
      <c r="H253" s="6"/>
      <c r="I253" s="6"/>
      <c r="J253" s="6"/>
      <c r="K253" s="6"/>
      <c r="L253" s="6"/>
      <c r="M253" s="6"/>
      <c r="N253" s="6"/>
    </row>
    <row r="254" spans="1:14">
      <c r="A254" s="5"/>
      <c r="B254" s="5"/>
      <c r="C254" s="5"/>
      <c r="D254" s="5"/>
      <c r="E254" s="5"/>
      <c r="F254" s="6"/>
      <c r="G254" s="6"/>
      <c r="H254" s="6"/>
      <c r="I254" s="6"/>
      <c r="J254" s="6"/>
      <c r="K254" s="6"/>
      <c r="L254" s="6"/>
      <c r="M254" s="6"/>
      <c r="N254" s="6"/>
    </row>
    <row r="255" spans="1:14">
      <c r="A255" s="5"/>
      <c r="B255" s="5"/>
      <c r="C255" s="5"/>
      <c r="D255" s="5"/>
      <c r="E255" s="5"/>
      <c r="F255" s="6"/>
      <c r="G255" s="6"/>
      <c r="H255" s="6"/>
      <c r="I255" s="6"/>
      <c r="J255" s="6"/>
      <c r="K255" s="6"/>
      <c r="L255" s="6"/>
      <c r="M255" s="6"/>
      <c r="N255" s="6"/>
    </row>
    <row r="256" spans="1:14">
      <c r="A256" s="5"/>
      <c r="B256" s="5"/>
      <c r="C256" s="5"/>
      <c r="D256" s="5"/>
      <c r="E256" s="5"/>
      <c r="F256" s="6"/>
      <c r="G256" s="6"/>
      <c r="H256" s="6"/>
      <c r="I256" s="6"/>
      <c r="J256" s="6"/>
      <c r="K256" s="6"/>
      <c r="L256" s="6"/>
      <c r="M256" s="6"/>
      <c r="N256" s="6"/>
    </row>
    <row r="257" spans="1:14">
      <c r="A257" s="5"/>
      <c r="B257" s="5"/>
      <c r="C257" s="5"/>
      <c r="D257" s="5"/>
      <c r="E257" s="5"/>
      <c r="F257" s="6"/>
      <c r="G257" s="6"/>
      <c r="H257" s="6"/>
      <c r="I257" s="6"/>
      <c r="J257" s="6"/>
      <c r="K257" s="6"/>
      <c r="L257" s="6"/>
      <c r="M257" s="6"/>
      <c r="N257" s="6"/>
    </row>
    <row r="258" spans="1:14">
      <c r="A258" s="5"/>
      <c r="B258" s="5"/>
      <c r="C258" s="5"/>
      <c r="D258" s="5"/>
      <c r="E258" s="5"/>
      <c r="F258" s="6"/>
      <c r="G258" s="6"/>
      <c r="H258" s="6"/>
      <c r="I258" s="6"/>
      <c r="J258" s="6"/>
      <c r="K258" s="6"/>
      <c r="L258" s="6"/>
      <c r="M258" s="6"/>
      <c r="N258" s="6"/>
    </row>
    <row r="259" spans="1:14">
      <c r="A259" s="5"/>
      <c r="B259" s="5"/>
      <c r="C259" s="5"/>
      <c r="D259" s="5"/>
      <c r="E259" s="5"/>
      <c r="F259" s="6"/>
      <c r="G259" s="6"/>
      <c r="H259" s="6"/>
      <c r="I259" s="6"/>
      <c r="J259" s="6"/>
      <c r="K259" s="6"/>
      <c r="L259" s="6"/>
      <c r="M259" s="6"/>
      <c r="N259" s="6"/>
    </row>
    <row r="260" spans="1:14">
      <c r="A260" s="5"/>
      <c r="B260" s="5"/>
      <c r="C260" s="5"/>
      <c r="D260" s="5"/>
      <c r="E260" s="5"/>
      <c r="F260" s="6"/>
      <c r="G260" s="6"/>
      <c r="H260" s="6"/>
      <c r="I260" s="6"/>
      <c r="J260" s="6"/>
      <c r="K260" s="6"/>
      <c r="L260" s="6"/>
      <c r="M260" s="6"/>
      <c r="N260" s="6"/>
    </row>
    <row r="261" spans="1:14">
      <c r="A261" s="5"/>
      <c r="B261" s="5"/>
      <c r="C261" s="5"/>
      <c r="D261" s="5"/>
      <c r="E261" s="5"/>
      <c r="F261" s="6"/>
      <c r="G261" s="6"/>
      <c r="H261" s="6"/>
      <c r="I261" s="6"/>
      <c r="J261" s="6"/>
      <c r="K261" s="6"/>
      <c r="L261" s="6"/>
      <c r="M261" s="6"/>
      <c r="N261" s="6"/>
    </row>
    <row r="262" spans="1:14">
      <c r="A262" s="5"/>
      <c r="B262" s="5"/>
      <c r="C262" s="5"/>
      <c r="D262" s="5"/>
      <c r="E262" s="5"/>
      <c r="F262" s="6"/>
      <c r="G262" s="6"/>
      <c r="H262" s="6"/>
      <c r="I262" s="6"/>
      <c r="J262" s="6"/>
      <c r="K262" s="6"/>
      <c r="L262" s="6"/>
      <c r="M262" s="6"/>
      <c r="N262" s="6"/>
    </row>
    <row r="263" spans="1:14">
      <c r="A263" s="5"/>
      <c r="B263" s="5"/>
      <c r="C263" s="5"/>
      <c r="D263" s="5"/>
      <c r="E263" s="5"/>
      <c r="F263" s="6"/>
      <c r="G263" s="6"/>
      <c r="H263" s="6"/>
      <c r="I263" s="6"/>
      <c r="J263" s="6"/>
      <c r="K263" s="6"/>
      <c r="L263" s="6"/>
      <c r="M263" s="6"/>
      <c r="N263" s="6"/>
    </row>
    <row r="264" spans="1:14">
      <c r="A264" s="5"/>
      <c r="B264" s="5"/>
      <c r="C264" s="5"/>
      <c r="D264" s="5"/>
      <c r="E264" s="5"/>
      <c r="F264" s="6"/>
      <c r="G264" s="6"/>
      <c r="H264" s="6"/>
      <c r="I264" s="6"/>
      <c r="J264" s="6"/>
      <c r="K264" s="6"/>
      <c r="L264" s="6"/>
      <c r="M264" s="6"/>
      <c r="N264" s="6"/>
    </row>
    <row r="265" spans="1:14">
      <c r="A265" s="5"/>
      <c r="B265" s="5"/>
      <c r="C265" s="5"/>
      <c r="D265" s="5"/>
      <c r="E265" s="5"/>
      <c r="F265" s="6"/>
      <c r="G265" s="6"/>
      <c r="H265" s="6"/>
      <c r="I265" s="6"/>
      <c r="J265" s="6"/>
      <c r="K265" s="6"/>
      <c r="L265" s="6"/>
      <c r="M265" s="6"/>
      <c r="N265" s="6"/>
    </row>
    <row r="266" spans="1:14">
      <c r="A266" s="5"/>
      <c r="B266" s="5"/>
      <c r="C266" s="5"/>
      <c r="D266" s="5"/>
      <c r="E266" s="5"/>
      <c r="F266" s="6"/>
      <c r="G266" s="6"/>
      <c r="H266" s="6"/>
      <c r="I266" s="6"/>
      <c r="J266" s="6"/>
      <c r="K266" s="6"/>
      <c r="L266" s="6"/>
      <c r="M266" s="6"/>
      <c r="N266" s="6"/>
    </row>
    <row r="267" spans="1:14">
      <c r="A267" s="5"/>
      <c r="B267" s="5"/>
      <c r="C267" s="5"/>
      <c r="D267" s="5"/>
      <c r="E267" s="5"/>
      <c r="F267" s="6"/>
      <c r="G267" s="6"/>
      <c r="H267" s="6"/>
      <c r="I267" s="6"/>
      <c r="J267" s="6"/>
      <c r="K267" s="6"/>
      <c r="L267" s="6"/>
      <c r="M267" s="6"/>
      <c r="N267" s="6"/>
    </row>
    <row r="268" spans="1:14">
      <c r="A268" s="5"/>
      <c r="B268" s="5"/>
      <c r="C268" s="5"/>
      <c r="D268" s="5"/>
      <c r="E268" s="5"/>
      <c r="F268" s="6"/>
      <c r="G268" s="6"/>
      <c r="H268" s="6"/>
      <c r="I268" s="6"/>
      <c r="J268" s="6"/>
      <c r="K268" s="6"/>
      <c r="L268" s="6"/>
      <c r="M268" s="6"/>
      <c r="N268" s="6"/>
    </row>
    <row r="269" spans="1:14">
      <c r="A269" s="5"/>
      <c r="B269" s="5"/>
      <c r="C269" s="5"/>
      <c r="D269" s="5"/>
      <c r="E269" s="5"/>
      <c r="F269" s="6"/>
      <c r="G269" s="6"/>
      <c r="H269" s="6"/>
      <c r="I269" s="6"/>
      <c r="J269" s="6"/>
      <c r="K269" s="6"/>
      <c r="L269" s="6"/>
      <c r="M269" s="6"/>
      <c r="N269" s="6"/>
    </row>
    <row r="270" spans="1:14">
      <c r="A270" s="5"/>
      <c r="B270" s="5"/>
      <c r="C270" s="5"/>
      <c r="D270" s="5"/>
      <c r="E270" s="5"/>
      <c r="F270" s="6"/>
      <c r="G270" s="6"/>
      <c r="H270" s="6"/>
      <c r="I270" s="6"/>
      <c r="J270" s="6"/>
      <c r="K270" s="6"/>
      <c r="L270" s="6"/>
      <c r="M270" s="6"/>
      <c r="N270" s="6"/>
    </row>
    <row r="271" spans="1:14">
      <c r="A271" s="5"/>
      <c r="B271" s="5"/>
      <c r="C271" s="5"/>
      <c r="D271" s="5"/>
      <c r="E271" s="5"/>
      <c r="F271" s="6"/>
      <c r="G271" s="6"/>
      <c r="H271" s="6"/>
      <c r="I271" s="6"/>
      <c r="J271" s="6"/>
      <c r="K271" s="6"/>
      <c r="L271" s="6"/>
      <c r="M271" s="6"/>
      <c r="N271" s="6"/>
    </row>
    <row r="272" spans="1:14">
      <c r="A272" s="5"/>
      <c r="B272" s="5"/>
      <c r="C272" s="5"/>
      <c r="D272" s="5"/>
      <c r="E272" s="5"/>
      <c r="F272" s="6"/>
      <c r="G272" s="6"/>
      <c r="H272" s="6"/>
      <c r="I272" s="6"/>
      <c r="J272" s="6"/>
      <c r="K272" s="6"/>
      <c r="L272" s="6"/>
      <c r="M272" s="6"/>
      <c r="N272" s="6"/>
    </row>
    <row r="273" spans="1:14">
      <c r="A273" s="5"/>
      <c r="B273" s="5"/>
      <c r="C273" s="5"/>
      <c r="D273" s="5"/>
      <c r="E273" s="5"/>
      <c r="F273" s="6"/>
      <c r="G273" s="6"/>
      <c r="H273" s="6"/>
      <c r="I273" s="6"/>
      <c r="J273" s="6"/>
      <c r="K273" s="6"/>
      <c r="L273" s="6"/>
      <c r="M273" s="6"/>
      <c r="N273" s="6"/>
    </row>
    <row r="274" spans="1:14">
      <c r="A274" s="5"/>
      <c r="B274" s="5"/>
      <c r="C274" s="5"/>
      <c r="D274" s="5"/>
      <c r="E274" s="5"/>
      <c r="F274" s="6"/>
      <c r="G274" s="6"/>
      <c r="H274" s="6"/>
      <c r="I274" s="6"/>
      <c r="J274" s="6"/>
      <c r="K274" s="6"/>
      <c r="L274" s="6"/>
      <c r="M274" s="6"/>
      <c r="N274" s="6"/>
    </row>
    <row r="275" spans="1:14">
      <c r="A275" s="5"/>
      <c r="B275" s="5"/>
      <c r="C275" s="5"/>
      <c r="D275" s="5"/>
      <c r="E275" s="5"/>
      <c r="F275" s="6"/>
      <c r="G275" s="6"/>
      <c r="H275" s="6"/>
      <c r="I275" s="6"/>
      <c r="J275" s="6"/>
      <c r="K275" s="6"/>
      <c r="L275" s="6"/>
      <c r="M275" s="6"/>
      <c r="N275" s="6"/>
    </row>
    <row r="276" spans="1:14">
      <c r="A276" s="5"/>
      <c r="B276" s="5"/>
      <c r="C276" s="5"/>
      <c r="D276" s="5"/>
      <c r="E276" s="5"/>
      <c r="F276" s="6"/>
      <c r="G276" s="6"/>
      <c r="H276" s="6"/>
      <c r="I276" s="6"/>
      <c r="J276" s="6"/>
      <c r="K276" s="6"/>
      <c r="L276" s="6"/>
      <c r="M276" s="6"/>
      <c r="N276" s="6"/>
    </row>
    <row r="277" spans="1:14">
      <c r="A277" s="5"/>
      <c r="B277" s="5"/>
      <c r="C277" s="5"/>
      <c r="D277" s="5"/>
      <c r="E277" s="5"/>
      <c r="F277" s="6"/>
      <c r="G277" s="6"/>
      <c r="H277" s="6"/>
      <c r="I277" s="6"/>
      <c r="J277" s="6"/>
      <c r="K277" s="6"/>
      <c r="L277" s="6"/>
      <c r="M277" s="6"/>
      <c r="N277" s="6"/>
    </row>
    <row r="278" spans="1:14">
      <c r="A278" s="5"/>
      <c r="B278" s="5"/>
      <c r="C278" s="5"/>
      <c r="D278" s="5"/>
      <c r="E278" s="5"/>
      <c r="F278" s="6"/>
      <c r="G278" s="6"/>
      <c r="H278" s="6"/>
      <c r="I278" s="6"/>
      <c r="J278" s="6"/>
      <c r="K278" s="6"/>
      <c r="L278" s="6"/>
      <c r="M278" s="6"/>
      <c r="N278" s="6"/>
    </row>
    <row r="279" spans="1:14">
      <c r="A279" s="5"/>
      <c r="B279" s="5"/>
      <c r="C279" s="5"/>
      <c r="D279" s="5"/>
      <c r="E279" s="5"/>
      <c r="F279" s="6"/>
      <c r="G279" s="6"/>
      <c r="H279" s="6"/>
      <c r="I279" s="6"/>
      <c r="J279" s="6"/>
      <c r="K279" s="6"/>
      <c r="L279" s="6"/>
      <c r="M279" s="6"/>
      <c r="N279" s="6"/>
    </row>
    <row r="280" spans="1:14">
      <c r="A280" s="5"/>
      <c r="B280" s="5"/>
      <c r="C280" s="5"/>
      <c r="D280" s="5"/>
      <c r="E280" s="5"/>
      <c r="F280" s="6"/>
      <c r="G280" s="6"/>
      <c r="H280" s="6"/>
      <c r="I280" s="6"/>
      <c r="J280" s="6"/>
      <c r="K280" s="6"/>
      <c r="L280" s="6"/>
      <c r="M280" s="6"/>
      <c r="N280" s="6"/>
    </row>
    <row r="281" spans="1:14">
      <c r="A281" s="5"/>
      <c r="B281" s="5"/>
      <c r="C281" s="5"/>
      <c r="D281" s="5"/>
      <c r="E281" s="5"/>
      <c r="F281" s="6"/>
      <c r="G281" s="6"/>
      <c r="H281" s="6"/>
      <c r="I281" s="6"/>
      <c r="J281" s="6"/>
      <c r="K281" s="6"/>
      <c r="L281" s="6"/>
      <c r="M281" s="6"/>
      <c r="N281" s="6"/>
    </row>
    <row r="282" spans="1:14">
      <c r="A282" s="5"/>
      <c r="B282" s="5"/>
      <c r="C282" s="5"/>
      <c r="D282" s="5"/>
      <c r="E282" s="5"/>
      <c r="F282" s="6"/>
      <c r="G282" s="6"/>
      <c r="H282" s="6"/>
      <c r="I282" s="6"/>
      <c r="J282" s="6"/>
      <c r="K282" s="6"/>
      <c r="L282" s="6"/>
      <c r="M282" s="6"/>
      <c r="N282" s="6"/>
    </row>
    <row r="283" spans="1:14">
      <c r="A283" s="5"/>
      <c r="B283" s="5"/>
      <c r="C283" s="5"/>
      <c r="D283" s="5"/>
      <c r="E283" s="5"/>
      <c r="F283" s="6"/>
      <c r="G283" s="6"/>
      <c r="H283" s="6"/>
      <c r="I283" s="6"/>
      <c r="J283" s="6"/>
      <c r="K283" s="6"/>
      <c r="L283" s="6"/>
      <c r="M283" s="6"/>
      <c r="N283" s="6"/>
    </row>
    <row r="284" spans="1:14">
      <c r="A284" s="5"/>
      <c r="B284" s="5"/>
      <c r="C284" s="5"/>
      <c r="D284" s="5"/>
      <c r="E284" s="5"/>
      <c r="F284" s="6"/>
      <c r="G284" s="6"/>
      <c r="H284" s="6"/>
      <c r="I284" s="6"/>
      <c r="J284" s="6"/>
      <c r="K284" s="6"/>
      <c r="L284" s="6"/>
      <c r="M284" s="6"/>
      <c r="N284" s="6"/>
    </row>
    <row r="285" spans="1:14">
      <c r="A285" s="5"/>
      <c r="B285" s="5"/>
      <c r="C285" s="5"/>
      <c r="D285" s="5"/>
      <c r="E285" s="5"/>
      <c r="F285" s="6"/>
      <c r="G285" s="6"/>
      <c r="H285" s="6"/>
      <c r="I285" s="6"/>
      <c r="J285" s="6"/>
      <c r="K285" s="6"/>
      <c r="L285" s="6"/>
      <c r="M285" s="6"/>
      <c r="N285" s="6"/>
    </row>
    <row r="286" spans="1:14">
      <c r="A286" s="5"/>
      <c r="B286" s="5"/>
      <c r="C286" s="5"/>
      <c r="D286" s="5"/>
      <c r="E286" s="5"/>
      <c r="F286" s="6"/>
      <c r="G286" s="6"/>
      <c r="H286" s="6"/>
      <c r="I286" s="6"/>
      <c r="J286" s="6"/>
      <c r="K286" s="6"/>
      <c r="L286" s="6"/>
      <c r="M286" s="6"/>
      <c r="N286" s="6"/>
    </row>
    <row r="287" spans="1:14">
      <c r="A287" s="5"/>
      <c r="B287" s="5"/>
      <c r="C287" s="5"/>
      <c r="D287" s="5"/>
      <c r="E287" s="5"/>
      <c r="F287" s="6"/>
      <c r="G287" s="6"/>
      <c r="H287" s="6"/>
      <c r="I287" s="6"/>
      <c r="J287" s="6"/>
      <c r="K287" s="6"/>
      <c r="L287" s="6"/>
      <c r="M287" s="6"/>
      <c r="N287" s="6"/>
    </row>
    <row r="288" spans="1:14">
      <c r="A288" s="5"/>
      <c r="B288" s="5"/>
      <c r="C288" s="5"/>
      <c r="D288" s="5"/>
      <c r="E288" s="5"/>
      <c r="F288" s="6"/>
      <c r="G288" s="6"/>
      <c r="H288" s="6"/>
      <c r="I288" s="6"/>
      <c r="J288" s="6"/>
      <c r="K288" s="6"/>
      <c r="L288" s="6"/>
      <c r="M288" s="6"/>
      <c r="N288" s="6"/>
    </row>
    <row r="289" spans="1:14">
      <c r="A289" s="5"/>
      <c r="B289" s="5"/>
      <c r="C289" s="5"/>
      <c r="D289" s="5"/>
      <c r="E289" s="5"/>
      <c r="F289" s="6"/>
      <c r="G289" s="6"/>
      <c r="H289" s="6"/>
      <c r="I289" s="6"/>
      <c r="J289" s="6"/>
      <c r="K289" s="6"/>
      <c r="L289" s="6"/>
      <c r="M289" s="6"/>
      <c r="N289" s="6"/>
    </row>
    <row r="290" spans="1:14">
      <c r="A290" s="5"/>
      <c r="B290" s="5"/>
      <c r="C290" s="5"/>
      <c r="D290" s="5"/>
      <c r="E290" s="5"/>
      <c r="F290" s="6"/>
      <c r="G290" s="6"/>
      <c r="H290" s="6"/>
      <c r="I290" s="6"/>
      <c r="J290" s="6"/>
      <c r="K290" s="6"/>
      <c r="L290" s="6"/>
      <c r="M290" s="6"/>
      <c r="N290" s="6"/>
    </row>
    <row r="291" spans="1:14">
      <c r="A291" s="5"/>
      <c r="B291" s="5"/>
      <c r="C291" s="5"/>
      <c r="D291" s="5"/>
      <c r="E291" s="5"/>
      <c r="F291" s="6"/>
      <c r="G291" s="6"/>
      <c r="H291" s="6"/>
      <c r="I291" s="6"/>
      <c r="J291" s="6"/>
      <c r="K291" s="6"/>
      <c r="L291" s="6"/>
      <c r="M291" s="6"/>
      <c r="N291" s="6"/>
    </row>
    <row r="292" spans="1:14">
      <c r="A292" s="5"/>
      <c r="B292" s="5"/>
      <c r="C292" s="5"/>
      <c r="D292" s="5"/>
      <c r="E292" s="5"/>
      <c r="F292" s="6"/>
      <c r="G292" s="6"/>
      <c r="H292" s="6"/>
      <c r="I292" s="6"/>
      <c r="J292" s="6"/>
      <c r="K292" s="6"/>
      <c r="L292" s="6"/>
      <c r="M292" s="6"/>
      <c r="N292" s="6"/>
    </row>
    <row r="293" spans="1:14">
      <c r="A293" s="5"/>
      <c r="B293" s="5"/>
      <c r="C293" s="5"/>
      <c r="D293" s="5"/>
      <c r="E293" s="5"/>
      <c r="F293" s="6"/>
      <c r="G293" s="6"/>
      <c r="H293" s="6"/>
      <c r="I293" s="6"/>
      <c r="J293" s="6"/>
      <c r="K293" s="6"/>
      <c r="L293" s="6"/>
      <c r="M293" s="6"/>
      <c r="N293" s="6"/>
    </row>
    <row r="294" spans="1:14">
      <c r="A294" s="5"/>
      <c r="B294" s="5"/>
      <c r="C294" s="5"/>
      <c r="D294" s="5"/>
      <c r="E294" s="5"/>
      <c r="F294" s="6"/>
      <c r="G294" s="6"/>
      <c r="H294" s="6"/>
      <c r="I294" s="6"/>
      <c r="J294" s="6"/>
      <c r="K294" s="6"/>
      <c r="L294" s="6"/>
      <c r="M294" s="6"/>
      <c r="N294" s="6"/>
    </row>
    <row r="295" spans="1:14">
      <c r="A295" s="5"/>
      <c r="B295" s="5"/>
      <c r="C295" s="5"/>
      <c r="D295" s="5"/>
      <c r="E295" s="5"/>
      <c r="F295" s="6"/>
      <c r="G295" s="6"/>
      <c r="H295" s="6"/>
      <c r="I295" s="6"/>
      <c r="J295" s="6"/>
      <c r="K295" s="6"/>
      <c r="L295" s="6"/>
      <c r="M295" s="6"/>
      <c r="N295" s="6"/>
    </row>
    <row r="296" spans="1:14">
      <c r="A296" s="5"/>
      <c r="B296" s="5"/>
      <c r="C296" s="5"/>
      <c r="D296" s="5"/>
      <c r="E296" s="5"/>
      <c r="F296" s="6"/>
      <c r="G296" s="6"/>
      <c r="H296" s="6"/>
      <c r="I296" s="6"/>
      <c r="J296" s="6"/>
      <c r="K296" s="6"/>
      <c r="L296" s="6"/>
      <c r="M296" s="6"/>
      <c r="N296" s="6"/>
    </row>
    <row r="297" spans="1:14">
      <c r="A297" s="5"/>
      <c r="B297" s="5"/>
      <c r="C297" s="5"/>
      <c r="D297" s="5"/>
      <c r="E297" s="5"/>
      <c r="F297" s="6"/>
      <c r="G297" s="6"/>
      <c r="H297" s="6"/>
      <c r="I297" s="6"/>
      <c r="J297" s="6"/>
      <c r="K297" s="6"/>
      <c r="L297" s="6"/>
      <c r="M297" s="6"/>
      <c r="N297" s="6"/>
    </row>
    <row r="298" spans="1:14">
      <c r="A298" s="5"/>
      <c r="B298" s="5"/>
      <c r="C298" s="5"/>
      <c r="D298" s="5"/>
      <c r="E298" s="5"/>
      <c r="F298" s="6"/>
      <c r="G298" s="6"/>
      <c r="H298" s="6"/>
      <c r="I298" s="6"/>
      <c r="J298" s="6"/>
      <c r="K298" s="6"/>
      <c r="L298" s="6"/>
      <c r="M298" s="6"/>
      <c r="N298" s="6"/>
    </row>
    <row r="299" spans="1:14">
      <c r="A299" s="5"/>
      <c r="B299" s="5"/>
      <c r="C299" s="5"/>
      <c r="D299" s="5"/>
      <c r="E299" s="5"/>
      <c r="F299" s="6"/>
      <c r="G299" s="6"/>
      <c r="H299" s="6"/>
      <c r="I299" s="6"/>
      <c r="J299" s="6"/>
      <c r="K299" s="6"/>
      <c r="L299" s="6"/>
      <c r="M299" s="6"/>
      <c r="N299" s="6"/>
    </row>
    <row r="300" spans="1:14">
      <c r="A300" s="5"/>
      <c r="B300" s="5"/>
      <c r="C300" s="5"/>
      <c r="D300" s="5"/>
      <c r="E300" s="5"/>
      <c r="F300" s="6"/>
      <c r="G300" s="6"/>
      <c r="H300" s="6"/>
      <c r="I300" s="6"/>
      <c r="J300" s="6"/>
      <c r="K300" s="6"/>
      <c r="L300" s="6"/>
      <c r="M300" s="6"/>
      <c r="N300" s="6"/>
    </row>
    <row r="301" spans="1:14">
      <c r="A301" s="5"/>
      <c r="B301" s="5"/>
      <c r="C301" s="5"/>
      <c r="D301" s="5"/>
      <c r="E301" s="5"/>
      <c r="F301" s="6"/>
      <c r="G301" s="6"/>
      <c r="H301" s="6"/>
      <c r="I301" s="6"/>
      <c r="J301" s="6"/>
      <c r="K301" s="6"/>
      <c r="L301" s="6"/>
      <c r="M301" s="6"/>
      <c r="N301" s="6"/>
    </row>
    <row r="302" spans="1:14">
      <c r="A302" s="5"/>
      <c r="B302" s="5"/>
      <c r="C302" s="5"/>
      <c r="D302" s="5"/>
      <c r="E302" s="5"/>
      <c r="F302" s="6"/>
      <c r="G302" s="6"/>
      <c r="H302" s="6"/>
      <c r="I302" s="6"/>
      <c r="J302" s="6"/>
      <c r="K302" s="6"/>
      <c r="L302" s="6"/>
      <c r="M302" s="6"/>
      <c r="N302" s="6"/>
    </row>
    <row r="303" spans="1:14">
      <c r="A303" s="5"/>
      <c r="B303" s="5"/>
      <c r="C303" s="5"/>
      <c r="D303" s="5"/>
      <c r="E303" s="5"/>
      <c r="F303" s="6"/>
      <c r="G303" s="6"/>
      <c r="H303" s="6"/>
      <c r="I303" s="6"/>
      <c r="J303" s="6"/>
      <c r="K303" s="6"/>
      <c r="L303" s="6"/>
      <c r="M303" s="6"/>
      <c r="N303" s="6"/>
    </row>
    <row r="304" spans="1:14">
      <c r="A304" s="5"/>
      <c r="B304" s="5"/>
      <c r="C304" s="5"/>
      <c r="D304" s="5"/>
      <c r="E304" s="5"/>
      <c r="F304" s="6"/>
      <c r="G304" s="6"/>
      <c r="H304" s="6"/>
      <c r="I304" s="6"/>
      <c r="J304" s="6"/>
      <c r="K304" s="6"/>
      <c r="L304" s="6"/>
      <c r="M304" s="6"/>
      <c r="N304" s="6"/>
    </row>
    <row r="305" spans="1:14">
      <c r="A305" s="5"/>
      <c r="B305" s="5"/>
      <c r="C305" s="5"/>
      <c r="D305" s="5"/>
      <c r="E305" s="5"/>
      <c r="F305" s="6"/>
      <c r="G305" s="6"/>
      <c r="H305" s="6"/>
      <c r="I305" s="6"/>
      <c r="J305" s="6"/>
      <c r="K305" s="6"/>
      <c r="L305" s="6"/>
      <c r="M305" s="6"/>
      <c r="N305" s="6"/>
    </row>
    <row r="306" spans="1:14">
      <c r="A306" s="5"/>
      <c r="B306" s="5"/>
      <c r="C306" s="5"/>
      <c r="D306" s="5"/>
      <c r="E306" s="5"/>
      <c r="F306" s="6"/>
      <c r="G306" s="6"/>
      <c r="H306" s="6"/>
      <c r="I306" s="6"/>
      <c r="J306" s="6"/>
      <c r="K306" s="6"/>
      <c r="L306" s="6"/>
      <c r="M306" s="6"/>
      <c r="N306" s="6"/>
    </row>
    <row r="307" spans="1:14">
      <c r="A307" s="5"/>
      <c r="B307" s="5"/>
      <c r="C307" s="5"/>
      <c r="D307" s="5"/>
      <c r="E307" s="5"/>
      <c r="F307" s="6"/>
      <c r="G307" s="6"/>
      <c r="H307" s="6"/>
      <c r="I307" s="6"/>
      <c r="J307" s="6"/>
      <c r="K307" s="6"/>
      <c r="L307" s="6"/>
      <c r="M307" s="6"/>
      <c r="N307" s="6"/>
    </row>
    <row r="308" spans="1:14">
      <c r="A308" s="5"/>
      <c r="B308" s="5"/>
      <c r="C308" s="5"/>
      <c r="D308" s="5"/>
      <c r="E308" s="5"/>
      <c r="F308" s="6"/>
      <c r="G308" s="6"/>
      <c r="H308" s="6"/>
      <c r="I308" s="6"/>
      <c r="J308" s="6"/>
      <c r="K308" s="6"/>
      <c r="L308" s="6"/>
      <c r="M308" s="6"/>
      <c r="N308" s="6"/>
    </row>
    <row r="309" spans="1:14">
      <c r="A309" s="5"/>
      <c r="B309" s="5"/>
      <c r="C309" s="5"/>
      <c r="D309" s="5"/>
      <c r="E309" s="5"/>
      <c r="F309" s="6"/>
      <c r="G309" s="6"/>
      <c r="H309" s="6"/>
      <c r="I309" s="6"/>
      <c r="J309" s="6"/>
      <c r="K309" s="6"/>
      <c r="L309" s="6"/>
      <c r="M309" s="6"/>
      <c r="N309" s="6"/>
    </row>
    <row r="310" spans="1:14">
      <c r="A310" s="5"/>
      <c r="B310" s="5"/>
      <c r="C310" s="5"/>
      <c r="D310" s="5"/>
      <c r="E310" s="5"/>
      <c r="F310" s="6"/>
      <c r="G310" s="6"/>
      <c r="H310" s="6"/>
      <c r="I310" s="6"/>
      <c r="J310" s="6"/>
      <c r="K310" s="6"/>
      <c r="L310" s="6"/>
      <c r="M310" s="6"/>
      <c r="N310" s="6"/>
    </row>
    <row r="311" spans="1:14">
      <c r="A311" s="5"/>
      <c r="B311" s="5"/>
      <c r="C311" s="5"/>
      <c r="D311" s="5"/>
      <c r="E311" s="5"/>
      <c r="F311" s="6"/>
      <c r="G311" s="6"/>
      <c r="H311" s="6"/>
      <c r="I311" s="6"/>
      <c r="J311" s="6"/>
      <c r="K311" s="6"/>
      <c r="L311" s="6"/>
      <c r="M311" s="6"/>
      <c r="N311" s="6"/>
    </row>
    <row r="312" spans="1:14">
      <c r="A312" s="5"/>
      <c r="B312" s="5"/>
      <c r="C312" s="5"/>
      <c r="D312" s="5"/>
      <c r="E312" s="5"/>
      <c r="F312" s="6"/>
      <c r="G312" s="6"/>
      <c r="H312" s="6"/>
      <c r="I312" s="6"/>
      <c r="J312" s="6"/>
      <c r="K312" s="6"/>
      <c r="L312" s="6"/>
      <c r="M312" s="6"/>
      <c r="N312" s="6"/>
    </row>
    <row r="313" spans="1:14">
      <c r="A313" s="5"/>
      <c r="B313" s="5"/>
      <c r="C313" s="5"/>
      <c r="D313" s="5"/>
      <c r="E313" s="5"/>
      <c r="F313" s="6"/>
      <c r="G313" s="6"/>
      <c r="H313" s="6"/>
      <c r="I313" s="6"/>
      <c r="J313" s="6"/>
      <c r="K313" s="6"/>
      <c r="L313" s="6"/>
      <c r="M313" s="6"/>
      <c r="N313" s="6"/>
    </row>
    <row r="314" spans="1:14">
      <c r="A314" s="5"/>
      <c r="B314" s="5"/>
      <c r="C314" s="5"/>
      <c r="D314" s="5"/>
      <c r="E314" s="5"/>
      <c r="F314" s="6"/>
      <c r="G314" s="6"/>
      <c r="H314" s="6"/>
      <c r="I314" s="6"/>
      <c r="J314" s="6"/>
      <c r="K314" s="6"/>
      <c r="L314" s="6"/>
      <c r="M314" s="6"/>
      <c r="N314" s="6"/>
    </row>
    <row r="315" spans="1:14">
      <c r="A315" s="5"/>
      <c r="B315" s="5"/>
      <c r="C315" s="5"/>
      <c r="D315" s="5"/>
      <c r="E315" s="5"/>
      <c r="F315" s="6"/>
      <c r="G315" s="6"/>
      <c r="H315" s="6"/>
      <c r="I315" s="6"/>
      <c r="J315" s="6"/>
      <c r="K315" s="6"/>
      <c r="L315" s="6"/>
      <c r="M315" s="6"/>
      <c r="N315" s="6"/>
    </row>
    <row r="316" spans="1:14">
      <c r="A316" s="5"/>
      <c r="B316" s="5"/>
      <c r="C316" s="5"/>
      <c r="D316" s="5"/>
      <c r="E316" s="5"/>
      <c r="F316" s="6"/>
      <c r="G316" s="6"/>
      <c r="H316" s="6"/>
      <c r="I316" s="6"/>
      <c r="J316" s="6"/>
      <c r="K316" s="6"/>
      <c r="L316" s="6"/>
      <c r="M316" s="6"/>
      <c r="N316" s="6"/>
    </row>
    <row r="317" spans="1:14">
      <c r="A317" s="5"/>
      <c r="B317" s="5"/>
      <c r="C317" s="5"/>
      <c r="D317" s="5"/>
      <c r="E317" s="5"/>
      <c r="F317" s="6"/>
      <c r="G317" s="6"/>
      <c r="H317" s="6"/>
      <c r="I317" s="6"/>
      <c r="J317" s="6"/>
      <c r="K317" s="6"/>
      <c r="L317" s="6"/>
      <c r="M317" s="6"/>
      <c r="N317" s="6"/>
    </row>
    <row r="318" spans="1:14">
      <c r="A318" s="5"/>
      <c r="B318" s="5"/>
      <c r="C318" s="5"/>
      <c r="D318" s="5"/>
      <c r="E318" s="5"/>
      <c r="F318" s="6"/>
      <c r="G318" s="6"/>
      <c r="H318" s="6"/>
      <c r="I318" s="6"/>
      <c r="J318" s="6"/>
      <c r="K318" s="6"/>
      <c r="L318" s="6"/>
      <c r="M318" s="6"/>
      <c r="N318" s="6"/>
    </row>
    <row r="319" spans="1:14">
      <c r="A319" s="5"/>
      <c r="B319" s="5"/>
      <c r="C319" s="5"/>
      <c r="D319" s="5"/>
      <c r="E319" s="5"/>
      <c r="F319" s="6"/>
      <c r="G319" s="6"/>
      <c r="H319" s="6"/>
      <c r="I319" s="6"/>
      <c r="J319" s="6"/>
      <c r="K319" s="6"/>
      <c r="L319" s="6"/>
      <c r="M319" s="6"/>
      <c r="N319" s="6"/>
    </row>
    <row r="320" spans="1:14">
      <c r="A320" s="5"/>
      <c r="B320" s="5"/>
      <c r="C320" s="5"/>
      <c r="D320" s="5"/>
      <c r="E320" s="5"/>
      <c r="F320" s="6"/>
      <c r="G320" s="6"/>
      <c r="H320" s="6"/>
      <c r="I320" s="6"/>
      <c r="J320" s="6"/>
      <c r="K320" s="6"/>
      <c r="L320" s="6"/>
      <c r="M320" s="6"/>
      <c r="N320" s="6"/>
    </row>
    <row r="321" spans="1:14">
      <c r="A321" s="5"/>
      <c r="B321" s="5"/>
      <c r="C321" s="5"/>
      <c r="D321" s="5"/>
      <c r="E321" s="5"/>
      <c r="F321" s="6"/>
      <c r="G321" s="6"/>
      <c r="H321" s="6"/>
      <c r="I321" s="6"/>
      <c r="J321" s="6"/>
      <c r="K321" s="6"/>
      <c r="L321" s="6"/>
      <c r="M321" s="6"/>
      <c r="N321" s="6"/>
    </row>
    <row r="322" spans="1:14">
      <c r="A322" s="5"/>
      <c r="B322" s="5"/>
      <c r="C322" s="5"/>
      <c r="D322" s="5"/>
      <c r="E322" s="5"/>
      <c r="F322" s="6"/>
      <c r="G322" s="6"/>
      <c r="H322" s="6"/>
      <c r="I322" s="6"/>
      <c r="J322" s="6"/>
      <c r="K322" s="6"/>
      <c r="L322" s="6"/>
      <c r="M322" s="6"/>
      <c r="N322" s="6"/>
    </row>
    <row r="323" spans="1:14">
      <c r="A323" s="5"/>
      <c r="B323" s="5"/>
      <c r="C323" s="5"/>
      <c r="D323" s="5"/>
      <c r="E323" s="5"/>
      <c r="F323" s="6"/>
      <c r="G323" s="6"/>
      <c r="H323" s="6"/>
      <c r="I323" s="6"/>
      <c r="J323" s="6"/>
      <c r="K323" s="6"/>
      <c r="L323" s="6"/>
      <c r="M323" s="6"/>
      <c r="N323" s="6"/>
    </row>
    <row r="324" spans="1:14">
      <c r="A324" s="5"/>
      <c r="B324" s="5"/>
      <c r="C324" s="5"/>
      <c r="D324" s="5"/>
      <c r="E324" s="5"/>
      <c r="F324" s="6"/>
      <c r="G324" s="6"/>
      <c r="H324" s="6"/>
      <c r="I324" s="6"/>
      <c r="J324" s="6"/>
      <c r="K324" s="6"/>
      <c r="L324" s="6"/>
      <c r="M324" s="6"/>
      <c r="N324" s="6"/>
    </row>
    <row r="325" spans="1:14">
      <c r="A325" s="5"/>
      <c r="B325" s="5"/>
      <c r="C325" s="5"/>
      <c r="D325" s="5"/>
      <c r="E325" s="5"/>
      <c r="F325" s="6"/>
      <c r="G325" s="6"/>
      <c r="H325" s="6"/>
      <c r="I325" s="6"/>
      <c r="J325" s="6"/>
      <c r="K325" s="6"/>
      <c r="L325" s="6"/>
      <c r="M325" s="6"/>
      <c r="N325" s="6"/>
    </row>
    <row r="326" spans="1:14">
      <c r="A326" s="5"/>
      <c r="B326" s="5"/>
      <c r="C326" s="5"/>
      <c r="D326" s="5"/>
      <c r="E326" s="5"/>
      <c r="F326" s="6"/>
      <c r="G326" s="6"/>
      <c r="H326" s="6"/>
      <c r="I326" s="6"/>
      <c r="J326" s="6"/>
      <c r="K326" s="6"/>
      <c r="L326" s="6"/>
      <c r="M326" s="6"/>
      <c r="N326" s="6"/>
    </row>
    <row r="327" spans="1:14">
      <c r="A327" s="5"/>
      <c r="B327" s="5"/>
      <c r="C327" s="5"/>
      <c r="D327" s="5"/>
      <c r="E327" s="5"/>
      <c r="F327" s="6"/>
      <c r="G327" s="6"/>
      <c r="H327" s="6"/>
      <c r="I327" s="6"/>
      <c r="J327" s="6"/>
      <c r="K327" s="6"/>
      <c r="L327" s="6"/>
      <c r="M327" s="6"/>
      <c r="N327" s="6"/>
    </row>
    <row r="328" spans="1:14">
      <c r="A328" s="5"/>
      <c r="B328" s="5"/>
      <c r="C328" s="5"/>
      <c r="D328" s="5"/>
      <c r="E328" s="5"/>
      <c r="F328" s="6"/>
      <c r="G328" s="6"/>
      <c r="H328" s="6"/>
      <c r="I328" s="6"/>
      <c r="J328" s="6"/>
      <c r="K328" s="6"/>
      <c r="L328" s="6"/>
      <c r="M328" s="6"/>
      <c r="N328" s="6"/>
    </row>
    <row r="329" spans="1:14">
      <c r="A329" s="5"/>
      <c r="B329" s="5"/>
      <c r="C329" s="5"/>
      <c r="D329" s="5"/>
      <c r="E329" s="5"/>
      <c r="F329" s="6"/>
      <c r="G329" s="6"/>
      <c r="H329" s="6"/>
      <c r="I329" s="6"/>
      <c r="J329" s="6"/>
      <c r="K329" s="6"/>
      <c r="L329" s="6"/>
      <c r="M329" s="6"/>
      <c r="N329" s="6"/>
    </row>
    <row r="330" spans="1:14">
      <c r="A330" s="5"/>
      <c r="B330" s="5"/>
      <c r="C330" s="5"/>
      <c r="D330" s="5"/>
      <c r="E330" s="5"/>
      <c r="F330" s="6"/>
      <c r="G330" s="6"/>
      <c r="H330" s="6"/>
      <c r="I330" s="6"/>
      <c r="J330" s="6"/>
      <c r="K330" s="6"/>
      <c r="L330" s="6"/>
      <c r="M330" s="6"/>
      <c r="N330" s="6"/>
    </row>
    <row r="331" spans="1:14">
      <c r="A331" s="5"/>
      <c r="B331" s="5"/>
      <c r="C331" s="5"/>
      <c r="D331" s="5"/>
      <c r="E331" s="5"/>
      <c r="F331" s="6"/>
      <c r="G331" s="6"/>
      <c r="H331" s="6"/>
      <c r="I331" s="6"/>
      <c r="J331" s="6"/>
      <c r="K331" s="6"/>
      <c r="L331" s="6"/>
      <c r="M331" s="6"/>
      <c r="N331" s="6"/>
    </row>
    <row r="332" spans="1:14">
      <c r="A332" s="5"/>
      <c r="B332" s="5"/>
      <c r="C332" s="5"/>
      <c r="D332" s="5"/>
      <c r="E332" s="5"/>
      <c r="F332" s="6"/>
      <c r="G332" s="6"/>
      <c r="H332" s="6"/>
      <c r="I332" s="6"/>
      <c r="J332" s="6"/>
      <c r="K332" s="6"/>
      <c r="L332" s="6"/>
      <c r="M332" s="6"/>
      <c r="N332" s="6"/>
    </row>
    <row r="333" spans="1:14">
      <c r="A333" s="5"/>
      <c r="B333" s="5"/>
      <c r="C333" s="5"/>
      <c r="D333" s="5"/>
      <c r="E333" s="5"/>
      <c r="F333" s="6"/>
      <c r="G333" s="6"/>
      <c r="H333" s="6"/>
      <c r="I333" s="6"/>
      <c r="J333" s="6"/>
      <c r="K333" s="6"/>
      <c r="L333" s="6"/>
      <c r="M333" s="6"/>
      <c r="N333" s="6"/>
    </row>
    <row r="334" spans="1:14">
      <c r="A334" s="5"/>
      <c r="B334" s="5"/>
      <c r="C334" s="5"/>
      <c r="D334" s="5"/>
      <c r="E334" s="5"/>
      <c r="F334" s="6"/>
      <c r="G334" s="6"/>
      <c r="H334" s="6"/>
      <c r="I334" s="6"/>
      <c r="J334" s="6"/>
      <c r="K334" s="6"/>
      <c r="L334" s="6"/>
      <c r="M334" s="6"/>
      <c r="N334" s="6"/>
    </row>
    <row r="335" spans="1:14">
      <c r="A335" s="5"/>
      <c r="B335" s="5"/>
      <c r="C335" s="5"/>
      <c r="D335" s="5"/>
      <c r="E335" s="5"/>
      <c r="F335" s="6"/>
      <c r="G335" s="6"/>
      <c r="H335" s="6"/>
      <c r="I335" s="6"/>
      <c r="J335" s="6"/>
      <c r="K335" s="6"/>
      <c r="L335" s="6"/>
      <c r="M335" s="6"/>
      <c r="N335" s="6"/>
    </row>
    <row r="336" spans="1:14">
      <c r="A336" s="5"/>
      <c r="B336" s="5"/>
      <c r="C336" s="5"/>
      <c r="D336" s="5"/>
      <c r="E336" s="5"/>
      <c r="F336" s="6"/>
      <c r="G336" s="6"/>
      <c r="H336" s="6"/>
      <c r="I336" s="6"/>
      <c r="J336" s="6"/>
      <c r="K336" s="6"/>
      <c r="L336" s="6"/>
      <c r="M336" s="6"/>
      <c r="N336" s="6"/>
    </row>
    <row r="337" spans="1:14">
      <c r="A337" s="5"/>
      <c r="B337" s="5"/>
      <c r="C337" s="5"/>
      <c r="D337" s="5"/>
      <c r="E337" s="5"/>
      <c r="F337" s="6"/>
      <c r="G337" s="6"/>
      <c r="H337" s="6"/>
      <c r="I337" s="6"/>
      <c r="J337" s="6"/>
      <c r="K337" s="6"/>
      <c r="L337" s="6"/>
      <c r="M337" s="6"/>
      <c r="N337" s="6"/>
    </row>
    <row r="338" spans="1:14">
      <c r="A338" s="5"/>
      <c r="B338" s="5"/>
      <c r="C338" s="5"/>
      <c r="D338" s="5"/>
      <c r="E338" s="5"/>
      <c r="F338" s="6"/>
      <c r="G338" s="6"/>
      <c r="H338" s="6"/>
      <c r="I338" s="6"/>
      <c r="J338" s="6"/>
      <c r="K338" s="6"/>
      <c r="L338" s="6"/>
      <c r="M338" s="6"/>
      <c r="N338" s="6"/>
    </row>
    <row r="339" spans="1:14">
      <c r="A339" s="5"/>
      <c r="B339" s="5"/>
      <c r="C339" s="5"/>
      <c r="D339" s="5"/>
      <c r="E339" s="5"/>
      <c r="F339" s="6"/>
      <c r="G339" s="6"/>
      <c r="H339" s="6"/>
      <c r="I339" s="6"/>
      <c r="J339" s="6"/>
      <c r="K339" s="6"/>
      <c r="L339" s="6"/>
      <c r="M339" s="6"/>
      <c r="N339" s="6"/>
    </row>
    <row r="340" spans="1:14">
      <c r="A340" s="5"/>
      <c r="B340" s="5"/>
      <c r="C340" s="5"/>
      <c r="D340" s="5"/>
      <c r="E340" s="5"/>
      <c r="F340" s="6"/>
      <c r="G340" s="6"/>
      <c r="H340" s="6"/>
      <c r="I340" s="6"/>
      <c r="J340" s="6"/>
      <c r="K340" s="6"/>
      <c r="L340" s="6"/>
      <c r="M340" s="6"/>
      <c r="N340" s="6"/>
    </row>
    <row r="341" spans="1:14">
      <c r="A341" s="5"/>
      <c r="B341" s="5"/>
      <c r="C341" s="5"/>
      <c r="D341" s="5"/>
      <c r="E341" s="5"/>
      <c r="F341" s="6"/>
      <c r="G341" s="6"/>
      <c r="H341" s="6"/>
      <c r="I341" s="6"/>
      <c r="J341" s="6"/>
      <c r="K341" s="6"/>
      <c r="L341" s="6"/>
      <c r="M341" s="6"/>
      <c r="N341" s="6"/>
    </row>
    <row r="342" spans="1:14">
      <c r="A342" s="5"/>
      <c r="B342" s="5"/>
      <c r="C342" s="5"/>
      <c r="D342" s="5"/>
      <c r="E342" s="5"/>
      <c r="F342" s="6"/>
      <c r="G342" s="6"/>
      <c r="H342" s="6"/>
      <c r="I342" s="6"/>
      <c r="J342" s="6"/>
      <c r="K342" s="6"/>
      <c r="L342" s="6"/>
      <c r="M342" s="6"/>
      <c r="N342" s="6"/>
    </row>
    <row r="343" spans="1:14">
      <c r="A343" s="5"/>
      <c r="B343" s="5"/>
      <c r="C343" s="5"/>
      <c r="D343" s="5"/>
      <c r="E343" s="5"/>
      <c r="F343" s="6"/>
      <c r="G343" s="6"/>
      <c r="H343" s="6"/>
      <c r="I343" s="6"/>
      <c r="J343" s="6"/>
      <c r="K343" s="6"/>
      <c r="L343" s="6"/>
      <c r="M343" s="6"/>
      <c r="N343" s="6"/>
    </row>
    <row r="344" spans="1:14">
      <c r="A344" s="5"/>
      <c r="B344" s="5"/>
      <c r="C344" s="5"/>
      <c r="D344" s="5"/>
      <c r="E344" s="5"/>
      <c r="F344" s="6"/>
      <c r="G344" s="6"/>
      <c r="H344" s="6"/>
      <c r="I344" s="6"/>
      <c r="J344" s="6"/>
      <c r="K344" s="6"/>
      <c r="L344" s="6"/>
      <c r="M344" s="6"/>
      <c r="N344" s="6"/>
    </row>
    <row r="345" spans="1:14">
      <c r="A345" s="5"/>
      <c r="B345" s="5"/>
      <c r="C345" s="5"/>
      <c r="D345" s="5"/>
      <c r="E345" s="5"/>
      <c r="F345" s="6"/>
      <c r="G345" s="6"/>
      <c r="H345" s="6"/>
      <c r="I345" s="6"/>
      <c r="J345" s="6"/>
      <c r="K345" s="6"/>
      <c r="L345" s="6"/>
      <c r="M345" s="6"/>
      <c r="N345" s="6"/>
    </row>
    <row r="346" spans="1:14">
      <c r="A346" s="5"/>
      <c r="B346" s="5"/>
      <c r="C346" s="5"/>
      <c r="D346" s="5"/>
      <c r="E346" s="5"/>
      <c r="F346" s="6"/>
      <c r="G346" s="6"/>
      <c r="H346" s="6"/>
      <c r="I346" s="6"/>
      <c r="J346" s="6"/>
      <c r="K346" s="6"/>
      <c r="L346" s="6"/>
      <c r="M346" s="6"/>
      <c r="N346" s="6"/>
    </row>
    <row r="347" spans="1:14">
      <c r="A347" s="5"/>
      <c r="B347" s="5"/>
      <c r="C347" s="5"/>
      <c r="D347" s="5"/>
      <c r="E347" s="5"/>
      <c r="F347" s="6"/>
      <c r="G347" s="6"/>
      <c r="H347" s="6"/>
      <c r="I347" s="6"/>
      <c r="J347" s="6"/>
      <c r="K347" s="6"/>
      <c r="L347" s="6"/>
      <c r="M347" s="6"/>
      <c r="N347" s="6"/>
    </row>
    <row r="348" spans="1:14">
      <c r="A348" s="5"/>
      <c r="B348" s="5"/>
      <c r="C348" s="5"/>
      <c r="D348" s="5"/>
      <c r="E348" s="5"/>
      <c r="F348" s="6"/>
      <c r="G348" s="6"/>
      <c r="H348" s="6"/>
      <c r="I348" s="6"/>
      <c r="J348" s="6"/>
      <c r="K348" s="6"/>
      <c r="L348" s="6"/>
      <c r="M348" s="6"/>
      <c r="N348" s="6"/>
    </row>
    <row r="349" spans="1:14">
      <c r="A349" s="5"/>
      <c r="B349" s="5"/>
      <c r="C349" s="5"/>
      <c r="D349" s="5"/>
      <c r="E349" s="5"/>
      <c r="F349" s="6"/>
      <c r="G349" s="6"/>
      <c r="H349" s="6"/>
      <c r="I349" s="6"/>
      <c r="J349" s="6"/>
      <c r="K349" s="6"/>
      <c r="L349" s="6"/>
      <c r="M349" s="6"/>
      <c r="N349" s="6"/>
    </row>
    <row r="350" spans="1:14">
      <c r="A350" s="5"/>
      <c r="B350" s="5"/>
      <c r="C350" s="5"/>
      <c r="D350" s="5"/>
      <c r="E350" s="5"/>
      <c r="F350" s="6"/>
      <c r="G350" s="6"/>
      <c r="H350" s="6"/>
      <c r="I350" s="6"/>
      <c r="J350" s="6"/>
      <c r="K350" s="6"/>
      <c r="L350" s="6"/>
      <c r="M350" s="6"/>
      <c r="N350" s="6"/>
    </row>
    <row r="351" spans="1:14">
      <c r="A351" s="5"/>
      <c r="B351" s="5"/>
      <c r="C351" s="5"/>
      <c r="D351" s="5"/>
      <c r="E351" s="5"/>
      <c r="F351" s="6"/>
      <c r="G351" s="6"/>
      <c r="H351" s="6"/>
      <c r="I351" s="6"/>
      <c r="J351" s="6"/>
      <c r="K351" s="6"/>
      <c r="L351" s="6"/>
      <c r="M351" s="6"/>
      <c r="N351" s="6"/>
    </row>
    <row r="352" spans="1:14">
      <c r="A352" s="5"/>
      <c r="B352" s="5"/>
      <c r="C352" s="5"/>
      <c r="D352" s="5"/>
      <c r="E352" s="5"/>
      <c r="F352" s="6"/>
      <c r="G352" s="6"/>
      <c r="H352" s="6"/>
      <c r="I352" s="6"/>
      <c r="J352" s="6"/>
      <c r="K352" s="6"/>
      <c r="L352" s="6"/>
      <c r="M352" s="6"/>
      <c r="N352" s="6"/>
    </row>
    <row r="353" spans="1:14">
      <c r="A353" s="5"/>
      <c r="B353" s="5"/>
      <c r="C353" s="5"/>
      <c r="D353" s="5"/>
      <c r="E353" s="5"/>
      <c r="F353" s="6"/>
      <c r="G353" s="6"/>
      <c r="H353" s="6"/>
      <c r="I353" s="6"/>
      <c r="J353" s="6"/>
      <c r="K353" s="6"/>
      <c r="L353" s="6"/>
      <c r="M353" s="6"/>
      <c r="N353" s="6"/>
    </row>
    <row r="354" spans="1:14">
      <c r="A354" s="5"/>
      <c r="B354" s="5"/>
      <c r="C354" s="5"/>
      <c r="D354" s="5"/>
      <c r="E354" s="5"/>
      <c r="F354" s="6"/>
      <c r="G354" s="6"/>
      <c r="H354" s="6"/>
      <c r="I354" s="6"/>
      <c r="J354" s="6"/>
      <c r="K354" s="6"/>
      <c r="L354" s="6"/>
      <c r="M354" s="6"/>
      <c r="N354" s="6"/>
    </row>
    <row r="355" spans="1:14">
      <c r="A355" s="5"/>
      <c r="B355" s="5"/>
      <c r="C355" s="5"/>
      <c r="D355" s="5"/>
      <c r="E355" s="5"/>
      <c r="F355" s="6"/>
      <c r="G355" s="6"/>
      <c r="H355" s="6"/>
      <c r="I355" s="6"/>
      <c r="J355" s="6"/>
      <c r="K355" s="6"/>
      <c r="L355" s="6"/>
      <c r="M355" s="6"/>
      <c r="N355" s="6"/>
    </row>
    <row r="356" spans="1:14">
      <c r="A356" s="5"/>
      <c r="B356" s="5"/>
      <c r="C356" s="5"/>
      <c r="D356" s="5"/>
      <c r="E356" s="5"/>
      <c r="F356" s="6"/>
      <c r="G356" s="6"/>
      <c r="H356" s="6"/>
      <c r="I356" s="6"/>
      <c r="J356" s="6"/>
      <c r="K356" s="6"/>
      <c r="L356" s="6"/>
      <c r="M356" s="6"/>
      <c r="N356" s="6"/>
    </row>
    <row r="357" spans="1:14">
      <c r="A357" s="5"/>
      <c r="B357" s="5"/>
      <c r="C357" s="5"/>
      <c r="D357" s="5"/>
      <c r="E357" s="5"/>
      <c r="F357" s="6"/>
      <c r="G357" s="6"/>
      <c r="H357" s="6"/>
      <c r="I357" s="6"/>
      <c r="J357" s="6"/>
      <c r="K357" s="6"/>
      <c r="L357" s="6"/>
      <c r="M357" s="6"/>
      <c r="N357" s="6"/>
    </row>
    <row r="358" spans="1:14">
      <c r="A358" s="5"/>
      <c r="B358" s="5"/>
      <c r="C358" s="5"/>
      <c r="D358" s="5"/>
      <c r="E358" s="5"/>
      <c r="F358" s="6"/>
      <c r="G358" s="6"/>
      <c r="H358" s="6"/>
      <c r="I358" s="6"/>
      <c r="J358" s="6"/>
      <c r="K358" s="6"/>
      <c r="L358" s="6"/>
      <c r="M358" s="6"/>
      <c r="N358" s="6"/>
    </row>
    <row r="359" spans="1:14">
      <c r="A359" s="5"/>
      <c r="B359" s="5"/>
      <c r="C359" s="5"/>
      <c r="D359" s="5"/>
      <c r="E359" s="5"/>
      <c r="F359" s="6"/>
      <c r="G359" s="6"/>
      <c r="H359" s="6"/>
      <c r="I359" s="6"/>
      <c r="J359" s="6"/>
      <c r="K359" s="6"/>
      <c r="L359" s="6"/>
      <c r="M359" s="6"/>
      <c r="N359" s="6"/>
    </row>
    <row r="360" spans="1:14">
      <c r="A360" s="5"/>
      <c r="B360" s="5"/>
      <c r="C360" s="5"/>
      <c r="D360" s="5"/>
      <c r="E360" s="5"/>
      <c r="F360" s="6"/>
      <c r="G360" s="6"/>
      <c r="H360" s="6"/>
      <c r="I360" s="6"/>
      <c r="J360" s="6"/>
      <c r="K360" s="6"/>
      <c r="L360" s="6"/>
      <c r="M360" s="6"/>
      <c r="N360" s="6"/>
    </row>
    <row r="361" spans="1:14">
      <c r="A361" s="5"/>
      <c r="B361" s="5"/>
      <c r="C361" s="5"/>
      <c r="D361" s="5"/>
      <c r="E361" s="5"/>
      <c r="F361" s="6"/>
      <c r="G361" s="6"/>
      <c r="H361" s="6"/>
      <c r="I361" s="6"/>
      <c r="J361" s="6"/>
      <c r="K361" s="6"/>
      <c r="L361" s="6"/>
      <c r="M361" s="6"/>
      <c r="N361" s="6"/>
    </row>
    <row r="362" spans="1:14">
      <c r="A362" s="5"/>
      <c r="B362" s="5"/>
      <c r="C362" s="5"/>
      <c r="D362" s="5"/>
      <c r="E362" s="5"/>
      <c r="F362" s="6"/>
      <c r="G362" s="6"/>
      <c r="H362" s="6"/>
      <c r="I362" s="6"/>
      <c r="J362" s="6"/>
      <c r="K362" s="6"/>
      <c r="L362" s="6"/>
      <c r="M362" s="6"/>
      <c r="N362" s="6"/>
    </row>
    <row r="363" spans="1:14">
      <c r="A363" s="5"/>
      <c r="B363" s="5"/>
      <c r="C363" s="5"/>
      <c r="D363" s="5"/>
      <c r="E363" s="5"/>
      <c r="F363" s="6"/>
      <c r="G363" s="6"/>
      <c r="H363" s="6"/>
      <c r="I363" s="6"/>
      <c r="J363" s="6"/>
      <c r="K363" s="6"/>
      <c r="L363" s="6"/>
      <c r="M363" s="6"/>
      <c r="N363" s="6"/>
    </row>
    <row r="364" spans="1:14">
      <c r="A364" s="5"/>
      <c r="B364" s="5"/>
      <c r="C364" s="5"/>
      <c r="D364" s="5"/>
      <c r="E364" s="5"/>
      <c r="F364" s="6"/>
      <c r="G364" s="6"/>
      <c r="H364" s="6"/>
      <c r="I364" s="6"/>
      <c r="J364" s="6"/>
      <c r="K364" s="6"/>
      <c r="L364" s="6"/>
      <c r="M364" s="6"/>
      <c r="N364" s="6"/>
    </row>
    <row r="365" spans="1:14">
      <c r="A365" s="5"/>
      <c r="B365" s="5"/>
      <c r="C365" s="5"/>
      <c r="D365" s="5"/>
      <c r="E365" s="5"/>
      <c r="F365" s="6"/>
      <c r="G365" s="6"/>
      <c r="H365" s="6"/>
      <c r="I365" s="6"/>
      <c r="J365" s="6"/>
      <c r="K365" s="6"/>
      <c r="L365" s="6"/>
      <c r="M365" s="6"/>
      <c r="N365" s="6"/>
    </row>
    <row r="366" spans="1:14">
      <c r="A366" s="5"/>
      <c r="B366" s="5"/>
      <c r="C366" s="5"/>
      <c r="D366" s="5"/>
      <c r="E366" s="5"/>
      <c r="F366" s="6"/>
      <c r="G366" s="6"/>
      <c r="H366" s="6"/>
      <c r="I366" s="6"/>
      <c r="J366" s="6"/>
      <c r="K366" s="6"/>
      <c r="L366" s="6"/>
      <c r="M366" s="6"/>
      <c r="N366" s="6"/>
    </row>
    <row r="367" spans="1:14">
      <c r="A367" s="5"/>
      <c r="B367" s="5"/>
      <c r="C367" s="5"/>
      <c r="D367" s="5"/>
      <c r="E367" s="5"/>
      <c r="F367" s="6"/>
      <c r="G367" s="6"/>
      <c r="H367" s="6"/>
      <c r="I367" s="6"/>
      <c r="J367" s="6"/>
      <c r="K367" s="6"/>
      <c r="L367" s="6"/>
      <c r="M367" s="6"/>
      <c r="N367" s="6"/>
    </row>
    <row r="368" spans="1:14">
      <c r="A368" s="5"/>
      <c r="B368" s="5"/>
      <c r="C368" s="5"/>
      <c r="D368" s="5"/>
      <c r="E368" s="5"/>
      <c r="F368" s="6"/>
      <c r="G368" s="6"/>
      <c r="H368" s="6"/>
      <c r="I368" s="6"/>
      <c r="J368" s="6"/>
      <c r="K368" s="6"/>
      <c r="L368" s="6"/>
      <c r="M368" s="6"/>
      <c r="N368" s="6"/>
    </row>
    <row r="369" spans="1:14">
      <c r="A369" s="5"/>
      <c r="B369" s="5"/>
      <c r="C369" s="5"/>
      <c r="D369" s="5"/>
      <c r="E369" s="5"/>
      <c r="F369" s="6"/>
      <c r="G369" s="6"/>
      <c r="H369" s="6"/>
      <c r="I369" s="6"/>
      <c r="J369" s="6"/>
      <c r="K369" s="6"/>
      <c r="L369" s="6"/>
      <c r="M369" s="6"/>
      <c r="N369" s="6"/>
    </row>
    <row r="370" spans="1:14">
      <c r="A370" s="5"/>
      <c r="B370" s="5"/>
      <c r="C370" s="5"/>
      <c r="D370" s="5"/>
      <c r="E370" s="5"/>
      <c r="F370" s="6"/>
      <c r="G370" s="6"/>
      <c r="H370" s="6"/>
      <c r="I370" s="6"/>
      <c r="J370" s="6"/>
      <c r="K370" s="6"/>
      <c r="L370" s="6"/>
      <c r="M370" s="6"/>
      <c r="N370" s="6"/>
    </row>
    <row r="371" spans="1:14">
      <c r="A371" s="5"/>
      <c r="B371" s="5"/>
      <c r="C371" s="5"/>
      <c r="D371" s="5"/>
      <c r="E371" s="5"/>
      <c r="F371" s="6"/>
      <c r="G371" s="6"/>
      <c r="H371" s="6"/>
      <c r="I371" s="6"/>
      <c r="J371" s="6"/>
      <c r="K371" s="6"/>
      <c r="L371" s="6"/>
      <c r="M371" s="6"/>
      <c r="N371" s="6"/>
    </row>
    <row r="372" spans="1:14">
      <c r="A372" s="5"/>
      <c r="B372" s="5"/>
      <c r="C372" s="5"/>
      <c r="D372" s="5"/>
      <c r="E372" s="5"/>
      <c r="F372" s="6"/>
      <c r="G372" s="6"/>
      <c r="H372" s="6"/>
      <c r="I372" s="6"/>
      <c r="J372" s="6"/>
      <c r="K372" s="6"/>
      <c r="L372" s="6"/>
      <c r="M372" s="6"/>
      <c r="N372" s="6"/>
    </row>
    <row r="373" spans="1:14">
      <c r="A373" s="5"/>
      <c r="B373" s="5"/>
      <c r="C373" s="5"/>
      <c r="D373" s="5"/>
      <c r="E373" s="5"/>
      <c r="F373" s="6"/>
      <c r="G373" s="6"/>
      <c r="H373" s="6"/>
      <c r="I373" s="6"/>
      <c r="J373" s="6"/>
      <c r="K373" s="6"/>
      <c r="L373" s="6"/>
      <c r="M373" s="6"/>
      <c r="N373" s="6"/>
    </row>
    <row r="374" spans="1:14">
      <c r="A374" s="5"/>
      <c r="B374" s="5"/>
      <c r="C374" s="5"/>
      <c r="D374" s="5"/>
      <c r="E374" s="5"/>
      <c r="F374" s="6"/>
      <c r="G374" s="6"/>
      <c r="H374" s="6"/>
      <c r="I374" s="6"/>
      <c r="J374" s="6"/>
      <c r="K374" s="6"/>
      <c r="L374" s="6"/>
      <c r="M374" s="6"/>
      <c r="N374" s="6"/>
    </row>
    <row r="375" spans="1:14">
      <c r="A375" s="5"/>
      <c r="B375" s="5"/>
      <c r="C375" s="5"/>
      <c r="D375" s="5"/>
      <c r="E375" s="5"/>
      <c r="F375" s="6"/>
      <c r="G375" s="6"/>
      <c r="H375" s="6"/>
      <c r="I375" s="6"/>
      <c r="J375" s="6"/>
      <c r="K375" s="6"/>
      <c r="L375" s="6"/>
      <c r="M375" s="6"/>
      <c r="N375" s="6"/>
    </row>
    <row r="376" spans="1:14">
      <c r="A376" s="5"/>
      <c r="B376" s="5"/>
      <c r="C376" s="5"/>
      <c r="D376" s="5"/>
      <c r="E376" s="5"/>
      <c r="F376" s="6"/>
      <c r="G376" s="6"/>
      <c r="H376" s="6"/>
      <c r="I376" s="6"/>
      <c r="J376" s="6"/>
      <c r="K376" s="6"/>
      <c r="L376" s="6"/>
      <c r="M376" s="6"/>
      <c r="N376" s="6"/>
    </row>
    <row r="377" spans="1:14">
      <c r="A377" s="5"/>
      <c r="B377" s="5"/>
      <c r="C377" s="5"/>
      <c r="D377" s="5"/>
      <c r="E377" s="5"/>
      <c r="F377" s="6"/>
      <c r="G377" s="6"/>
      <c r="H377" s="6"/>
      <c r="I377" s="6"/>
      <c r="J377" s="6"/>
      <c r="K377" s="6"/>
      <c r="L377" s="6"/>
      <c r="M377" s="6"/>
      <c r="N377" s="6"/>
    </row>
    <row r="378" spans="1:14">
      <c r="A378" s="5"/>
      <c r="B378" s="5"/>
      <c r="C378" s="5"/>
      <c r="D378" s="5"/>
      <c r="E378" s="5"/>
      <c r="F378" s="6"/>
      <c r="G378" s="6"/>
      <c r="H378" s="6"/>
      <c r="I378" s="6"/>
      <c r="J378" s="6"/>
      <c r="K378" s="6"/>
      <c r="L378" s="6"/>
      <c r="M378" s="6"/>
      <c r="N378" s="6"/>
    </row>
    <row r="379" spans="1:14">
      <c r="A379" s="5"/>
      <c r="B379" s="5"/>
      <c r="C379" s="5"/>
      <c r="D379" s="5"/>
      <c r="E379" s="5"/>
      <c r="F379" s="6"/>
      <c r="G379" s="6"/>
      <c r="H379" s="6"/>
      <c r="I379" s="6"/>
      <c r="J379" s="6"/>
      <c r="K379" s="6"/>
      <c r="L379" s="6"/>
      <c r="M379" s="6"/>
      <c r="N379" s="6"/>
    </row>
    <row r="380" spans="1:14">
      <c r="A380" s="5"/>
      <c r="B380" s="5"/>
      <c r="C380" s="5"/>
      <c r="D380" s="5"/>
      <c r="E380" s="5"/>
      <c r="F380" s="6"/>
      <c r="G380" s="6"/>
      <c r="H380" s="6"/>
      <c r="I380" s="6"/>
      <c r="J380" s="6"/>
      <c r="K380" s="6"/>
      <c r="L380" s="6"/>
      <c r="M380" s="6"/>
      <c r="N380" s="6"/>
    </row>
    <row r="381" spans="1:14">
      <c r="A381" s="5"/>
      <c r="B381" s="5"/>
      <c r="C381" s="5"/>
      <c r="D381" s="5"/>
      <c r="E381" s="5"/>
      <c r="F381" s="6"/>
      <c r="G381" s="6"/>
      <c r="H381" s="6"/>
      <c r="I381" s="6"/>
      <c r="J381" s="6"/>
      <c r="K381" s="6"/>
      <c r="L381" s="6"/>
      <c r="M381" s="6"/>
      <c r="N381" s="6"/>
    </row>
    <row r="382" spans="1:14">
      <c r="A382" s="5"/>
      <c r="B382" s="5"/>
      <c r="C382" s="5"/>
      <c r="D382" s="5"/>
      <c r="E382" s="5"/>
      <c r="F382" s="6"/>
      <c r="G382" s="6"/>
      <c r="H382" s="6"/>
      <c r="I382" s="6"/>
      <c r="J382" s="6"/>
      <c r="K382" s="6"/>
      <c r="L382" s="6"/>
      <c r="M382" s="6"/>
      <c r="N382" s="6"/>
    </row>
    <row r="383" spans="1:14">
      <c r="A383" s="5"/>
      <c r="B383" s="5"/>
      <c r="C383" s="5"/>
      <c r="D383" s="5"/>
      <c r="E383" s="5"/>
      <c r="F383" s="6"/>
      <c r="G383" s="6"/>
      <c r="H383" s="6"/>
      <c r="I383" s="6"/>
      <c r="J383" s="6"/>
      <c r="K383" s="6"/>
      <c r="L383" s="6"/>
      <c r="M383" s="6"/>
      <c r="N383" s="6"/>
    </row>
    <row r="384" spans="1:14">
      <c r="A384" s="5"/>
      <c r="B384" s="5"/>
      <c r="C384" s="5"/>
      <c r="D384" s="5"/>
      <c r="E384" s="5"/>
      <c r="F384" s="6"/>
      <c r="G384" s="6"/>
      <c r="H384" s="6"/>
      <c r="I384" s="6"/>
      <c r="J384" s="6"/>
      <c r="K384" s="6"/>
      <c r="L384" s="6"/>
      <c r="M384" s="6"/>
      <c r="N384" s="6"/>
    </row>
    <row r="385" spans="1:14">
      <c r="A385" s="5"/>
      <c r="B385" s="5"/>
      <c r="C385" s="5"/>
      <c r="D385" s="5"/>
      <c r="E385" s="5"/>
      <c r="F385" s="6"/>
      <c r="G385" s="6"/>
      <c r="H385" s="6"/>
      <c r="I385" s="6"/>
      <c r="J385" s="6"/>
      <c r="K385" s="6"/>
      <c r="L385" s="6"/>
      <c r="M385" s="6"/>
      <c r="N385" s="6"/>
    </row>
    <row r="386" spans="1:14">
      <c r="A386" s="5"/>
      <c r="B386" s="5"/>
      <c r="C386" s="5"/>
      <c r="D386" s="5"/>
      <c r="E386" s="5"/>
      <c r="F386" s="6"/>
      <c r="G386" s="6"/>
      <c r="H386" s="6"/>
      <c r="I386" s="6"/>
      <c r="J386" s="6"/>
      <c r="K386" s="6"/>
      <c r="L386" s="6"/>
      <c r="M386" s="6"/>
      <c r="N386" s="6"/>
    </row>
    <row r="387" spans="1:14">
      <c r="A387" s="5"/>
      <c r="B387" s="5"/>
      <c r="C387" s="5"/>
      <c r="D387" s="5"/>
      <c r="E387" s="5"/>
      <c r="F387" s="6"/>
      <c r="G387" s="6"/>
      <c r="H387" s="6"/>
      <c r="I387" s="6"/>
      <c r="J387" s="6"/>
      <c r="K387" s="6"/>
      <c r="L387" s="6"/>
      <c r="M387" s="6"/>
      <c r="N387" s="6"/>
    </row>
    <row r="388" spans="1:14">
      <c r="A388" s="5"/>
      <c r="B388" s="5"/>
      <c r="C388" s="5"/>
      <c r="D388" s="5"/>
      <c r="E388" s="5"/>
      <c r="F388" s="6"/>
      <c r="G388" s="6"/>
      <c r="H388" s="6"/>
      <c r="I388" s="6"/>
      <c r="J388" s="6"/>
      <c r="K388" s="6"/>
      <c r="L388" s="6"/>
      <c r="M388" s="6"/>
      <c r="N388" s="6"/>
    </row>
    <row r="389" spans="1:14">
      <c r="A389" s="5"/>
      <c r="B389" s="5"/>
      <c r="C389" s="5"/>
      <c r="D389" s="5"/>
      <c r="E389" s="5"/>
      <c r="F389" s="6"/>
      <c r="G389" s="6"/>
      <c r="H389" s="6"/>
      <c r="I389" s="6"/>
      <c r="J389" s="6"/>
      <c r="K389" s="6"/>
      <c r="L389" s="6"/>
      <c r="M389" s="6"/>
      <c r="N389" s="6"/>
    </row>
    <row r="390" spans="1:14">
      <c r="A390" s="5"/>
      <c r="B390" s="5"/>
      <c r="C390" s="5"/>
      <c r="D390" s="5"/>
      <c r="E390" s="5"/>
      <c r="F390" s="6"/>
      <c r="G390" s="6"/>
      <c r="H390" s="6"/>
      <c r="I390" s="6"/>
      <c r="J390" s="6"/>
      <c r="K390" s="6"/>
      <c r="L390" s="6"/>
      <c r="M390" s="6"/>
      <c r="N390" s="6"/>
    </row>
    <row r="391" spans="1:14">
      <c r="A391" s="5"/>
      <c r="B391" s="5"/>
      <c r="C391" s="5"/>
      <c r="D391" s="5"/>
      <c r="E391" s="5"/>
      <c r="F391" s="6"/>
      <c r="G391" s="6"/>
      <c r="H391" s="6"/>
      <c r="I391" s="6"/>
      <c r="J391" s="6"/>
      <c r="K391" s="6"/>
      <c r="L391" s="6"/>
      <c r="M391" s="6"/>
      <c r="N391" s="6"/>
    </row>
    <row r="392" spans="1:14">
      <c r="A392" s="5"/>
      <c r="B392" s="5"/>
      <c r="C392" s="5"/>
      <c r="D392" s="5"/>
      <c r="E392" s="5"/>
      <c r="F392" s="6"/>
      <c r="G392" s="6"/>
      <c r="H392" s="6"/>
      <c r="I392" s="6"/>
      <c r="J392" s="6"/>
      <c r="K392" s="6"/>
      <c r="L392" s="6"/>
      <c r="M392" s="6"/>
      <c r="N392" s="6"/>
    </row>
    <row r="393" spans="1:14">
      <c r="A393" s="5"/>
      <c r="B393" s="5"/>
      <c r="C393" s="5"/>
      <c r="D393" s="5"/>
      <c r="E393" s="5"/>
      <c r="F393" s="6"/>
      <c r="G393" s="6"/>
      <c r="H393" s="6"/>
      <c r="I393" s="6"/>
      <c r="J393" s="6"/>
      <c r="K393" s="6"/>
      <c r="L393" s="6"/>
      <c r="M393" s="6"/>
      <c r="N393" s="6"/>
    </row>
    <row r="394" spans="1:14">
      <c r="A394" s="5"/>
      <c r="B394" s="5"/>
      <c r="C394" s="5"/>
      <c r="D394" s="5"/>
      <c r="E394" s="5"/>
      <c r="F394" s="6"/>
      <c r="G394" s="6"/>
      <c r="H394" s="6"/>
      <c r="I394" s="6"/>
      <c r="J394" s="6"/>
      <c r="K394" s="6"/>
      <c r="L394" s="6"/>
      <c r="M394" s="6"/>
      <c r="N394" s="6"/>
    </row>
    <row r="395" spans="1:14">
      <c r="A395" s="5"/>
      <c r="B395" s="5"/>
      <c r="C395" s="5"/>
      <c r="D395" s="5"/>
      <c r="E395" s="5"/>
      <c r="F395" s="6"/>
      <c r="G395" s="6"/>
      <c r="H395" s="6"/>
      <c r="I395" s="6"/>
      <c r="J395" s="6"/>
      <c r="K395" s="6"/>
      <c r="L395" s="6"/>
      <c r="M395" s="6"/>
      <c r="N395" s="6"/>
    </row>
    <row r="396" spans="1:14">
      <c r="A396" s="5"/>
      <c r="B396" s="5"/>
      <c r="C396" s="5"/>
      <c r="D396" s="5"/>
      <c r="E396" s="5"/>
      <c r="F396" s="6"/>
      <c r="G396" s="6"/>
      <c r="H396" s="6"/>
      <c r="I396" s="6"/>
      <c r="J396" s="6"/>
      <c r="K396" s="6"/>
      <c r="L396" s="6"/>
      <c r="M396" s="6"/>
      <c r="N396" s="6"/>
    </row>
    <row r="397" spans="1:14">
      <c r="A397" s="5"/>
      <c r="B397" s="5"/>
      <c r="C397" s="5"/>
      <c r="D397" s="5"/>
      <c r="E397" s="5"/>
      <c r="F397" s="6"/>
      <c r="G397" s="6"/>
      <c r="H397" s="6"/>
      <c r="I397" s="6"/>
      <c r="J397" s="6"/>
      <c r="K397" s="6"/>
      <c r="L397" s="6"/>
      <c r="M397" s="6"/>
      <c r="N397" s="6"/>
    </row>
    <row r="398" spans="1:14">
      <c r="A398" s="5"/>
      <c r="B398" s="5"/>
      <c r="C398" s="5"/>
      <c r="D398" s="5"/>
      <c r="E398" s="5"/>
      <c r="F398" s="6"/>
      <c r="G398" s="6"/>
      <c r="H398" s="6"/>
      <c r="I398" s="6"/>
      <c r="J398" s="6"/>
      <c r="K398" s="6"/>
      <c r="L398" s="6"/>
      <c r="M398" s="6"/>
      <c r="N398" s="6"/>
    </row>
    <row r="399" spans="1:14">
      <c r="A399" s="5"/>
      <c r="B399" s="5"/>
      <c r="C399" s="5"/>
      <c r="D399" s="5"/>
      <c r="E399" s="5"/>
      <c r="F399" s="6"/>
      <c r="G399" s="6"/>
      <c r="H399" s="6"/>
      <c r="I399" s="6"/>
      <c r="J399" s="6"/>
      <c r="K399" s="6"/>
      <c r="L399" s="6"/>
      <c r="M399" s="6"/>
      <c r="N399" s="6"/>
    </row>
    <row r="400" spans="1:14">
      <c r="A400" s="5"/>
      <c r="B400" s="5"/>
      <c r="C400" s="5"/>
      <c r="D400" s="5"/>
      <c r="E400" s="5"/>
      <c r="F400" s="6"/>
      <c r="G400" s="6"/>
      <c r="H400" s="6"/>
      <c r="I400" s="6"/>
      <c r="J400" s="6"/>
      <c r="K400" s="6"/>
      <c r="L400" s="6"/>
      <c r="M400" s="6"/>
      <c r="N400" s="6"/>
    </row>
    <row r="401" spans="1:14">
      <c r="A401" s="5"/>
      <c r="B401" s="5"/>
      <c r="C401" s="5"/>
      <c r="D401" s="5"/>
      <c r="E401" s="5"/>
      <c r="F401" s="6"/>
      <c r="G401" s="6"/>
      <c r="H401" s="6"/>
      <c r="I401" s="6"/>
      <c r="J401" s="6"/>
      <c r="K401" s="6"/>
      <c r="L401" s="6"/>
      <c r="M401" s="6"/>
      <c r="N401" s="6"/>
    </row>
    <row r="402" spans="1:14">
      <c r="A402" s="5"/>
      <c r="B402" s="5"/>
      <c r="C402" s="5"/>
      <c r="D402" s="5"/>
      <c r="E402" s="5"/>
      <c r="F402" s="6"/>
      <c r="G402" s="6"/>
      <c r="H402" s="6"/>
      <c r="I402" s="6"/>
      <c r="J402" s="6"/>
      <c r="K402" s="6"/>
      <c r="L402" s="6"/>
      <c r="M402" s="6"/>
      <c r="N402" s="6"/>
    </row>
    <row r="403" spans="1:14">
      <c r="A403" s="5"/>
      <c r="B403" s="5"/>
      <c r="C403" s="5"/>
      <c r="D403" s="5"/>
      <c r="E403" s="5"/>
      <c r="F403" s="6"/>
      <c r="G403" s="6"/>
      <c r="H403" s="6"/>
      <c r="I403" s="6"/>
      <c r="J403" s="6"/>
      <c r="K403" s="6"/>
      <c r="L403" s="6"/>
      <c r="M403" s="6"/>
      <c r="N403" s="6"/>
    </row>
    <row r="404" spans="1:14">
      <c r="A404" s="5"/>
      <c r="B404" s="5"/>
      <c r="C404" s="5"/>
      <c r="D404" s="5"/>
      <c r="E404" s="5"/>
      <c r="F404" s="6"/>
      <c r="G404" s="6"/>
      <c r="H404" s="6"/>
      <c r="I404" s="6"/>
      <c r="J404" s="6"/>
      <c r="K404" s="6"/>
      <c r="L404" s="6"/>
      <c r="M404" s="6"/>
      <c r="N404" s="6"/>
    </row>
    <row r="405" spans="1:14">
      <c r="A405" s="5"/>
      <c r="B405" s="5"/>
      <c r="C405" s="5"/>
      <c r="D405" s="5"/>
      <c r="E405" s="5"/>
      <c r="F405" s="6"/>
      <c r="G405" s="6"/>
      <c r="H405" s="6"/>
      <c r="I405" s="6"/>
      <c r="J405" s="6"/>
      <c r="K405" s="6"/>
      <c r="L405" s="6"/>
      <c r="M405" s="6"/>
      <c r="N405" s="6"/>
    </row>
    <row r="406" spans="1:14">
      <c r="A406" s="5"/>
      <c r="B406" s="5"/>
      <c r="C406" s="5"/>
      <c r="D406" s="5"/>
      <c r="E406" s="5"/>
      <c r="F406" s="6"/>
      <c r="G406" s="6"/>
      <c r="H406" s="6"/>
      <c r="I406" s="6"/>
      <c r="J406" s="6"/>
      <c r="K406" s="6"/>
      <c r="L406" s="6"/>
      <c r="M406" s="6"/>
      <c r="N406" s="6"/>
    </row>
    <row r="407" spans="1:14">
      <c r="A407" s="5"/>
      <c r="B407" s="5"/>
      <c r="C407" s="5"/>
      <c r="D407" s="5"/>
      <c r="E407" s="5"/>
      <c r="F407" s="6"/>
      <c r="G407" s="6"/>
      <c r="H407" s="6"/>
      <c r="I407" s="6"/>
      <c r="J407" s="6"/>
      <c r="K407" s="6"/>
      <c r="L407" s="6"/>
      <c r="M407" s="6"/>
      <c r="N407" s="6"/>
    </row>
    <row r="408" spans="1:14">
      <c r="A408" s="5"/>
      <c r="B408" s="5"/>
      <c r="C408" s="5"/>
      <c r="D408" s="5"/>
      <c r="E408" s="5"/>
      <c r="F408" s="6"/>
      <c r="G408" s="6"/>
      <c r="H408" s="6"/>
      <c r="I408" s="6"/>
      <c r="J408" s="6"/>
      <c r="K408" s="6"/>
      <c r="L408" s="6"/>
      <c r="M408" s="6"/>
      <c r="N408" s="6"/>
    </row>
    <row r="409" spans="1:14">
      <c r="A409" s="5"/>
      <c r="B409" s="5"/>
      <c r="C409" s="5"/>
      <c r="D409" s="5"/>
      <c r="E409" s="5"/>
      <c r="F409" s="6"/>
      <c r="G409" s="6"/>
      <c r="H409" s="6"/>
      <c r="I409" s="6"/>
      <c r="J409" s="6"/>
      <c r="K409" s="6"/>
      <c r="L409" s="6"/>
      <c r="M409" s="6"/>
      <c r="N409" s="6"/>
    </row>
    <row r="410" spans="1:14">
      <c r="A410" s="5"/>
      <c r="B410" s="5"/>
      <c r="C410" s="5"/>
      <c r="D410" s="5"/>
      <c r="E410" s="5"/>
      <c r="F410" s="6"/>
      <c r="G410" s="6"/>
      <c r="H410" s="6"/>
      <c r="I410" s="6"/>
      <c r="J410" s="6"/>
      <c r="K410" s="6"/>
      <c r="L410" s="6"/>
      <c r="M410" s="6"/>
      <c r="N410" s="6"/>
    </row>
    <row r="411" spans="1:14">
      <c r="A411" s="5"/>
      <c r="B411" s="5"/>
      <c r="C411" s="5"/>
      <c r="D411" s="5"/>
      <c r="E411" s="5"/>
      <c r="F411" s="6"/>
      <c r="G411" s="6"/>
      <c r="H411" s="6"/>
      <c r="I411" s="6"/>
      <c r="J411" s="6"/>
      <c r="K411" s="6"/>
      <c r="L411" s="6"/>
      <c r="M411" s="6"/>
      <c r="N411" s="6"/>
    </row>
    <row r="412" spans="1:14">
      <c r="A412" s="5"/>
      <c r="B412" s="5"/>
      <c r="C412" s="5"/>
      <c r="D412" s="5"/>
      <c r="E412" s="5"/>
      <c r="F412" s="6"/>
      <c r="G412" s="6"/>
      <c r="H412" s="6"/>
      <c r="I412" s="6"/>
      <c r="J412" s="6"/>
      <c r="K412" s="6"/>
      <c r="L412" s="6"/>
      <c r="M412" s="6"/>
      <c r="N412" s="6"/>
    </row>
    <row r="413" spans="1:14">
      <c r="A413" s="5"/>
      <c r="B413" s="5"/>
      <c r="C413" s="5"/>
      <c r="D413" s="5"/>
      <c r="E413" s="5"/>
      <c r="F413" s="6"/>
      <c r="G413" s="6"/>
      <c r="H413" s="6"/>
      <c r="I413" s="6"/>
      <c r="J413" s="6"/>
      <c r="K413" s="6"/>
      <c r="L413" s="6"/>
      <c r="M413" s="6"/>
      <c r="N413" s="6"/>
    </row>
    <row r="414" spans="1:14">
      <c r="A414" s="5"/>
      <c r="B414" s="5"/>
      <c r="C414" s="5"/>
      <c r="D414" s="5"/>
      <c r="E414" s="5"/>
      <c r="F414" s="6"/>
      <c r="G414" s="6"/>
      <c r="H414" s="6"/>
      <c r="I414" s="6"/>
      <c r="J414" s="6"/>
      <c r="K414" s="6"/>
      <c r="L414" s="6"/>
      <c r="M414" s="6"/>
      <c r="N414" s="6"/>
    </row>
    <row r="415" spans="1:14">
      <c r="A415" s="5"/>
      <c r="B415" s="5"/>
      <c r="C415" s="5"/>
      <c r="D415" s="5"/>
      <c r="E415" s="5"/>
      <c r="F415" s="6"/>
      <c r="G415" s="6"/>
      <c r="H415" s="6"/>
      <c r="I415" s="6"/>
      <c r="J415" s="6"/>
      <c r="K415" s="6"/>
      <c r="L415" s="6"/>
      <c r="M415" s="6"/>
      <c r="N415" s="6"/>
    </row>
    <row r="416" spans="1:14">
      <c r="A416" s="5"/>
      <c r="B416" s="5"/>
      <c r="C416" s="5"/>
      <c r="D416" s="5"/>
      <c r="E416" s="5"/>
      <c r="F416" s="6"/>
      <c r="G416" s="6"/>
      <c r="H416" s="6"/>
      <c r="I416" s="6"/>
      <c r="J416" s="6"/>
      <c r="K416" s="6"/>
      <c r="L416" s="6"/>
      <c r="M416" s="6"/>
      <c r="N416" s="6"/>
    </row>
    <row r="417" spans="1:14">
      <c r="A417" s="5"/>
      <c r="B417" s="5"/>
      <c r="C417" s="5"/>
      <c r="D417" s="5"/>
      <c r="E417" s="5"/>
      <c r="F417" s="6"/>
      <c r="G417" s="6"/>
      <c r="H417" s="6"/>
      <c r="I417" s="6"/>
      <c r="J417" s="6"/>
      <c r="K417" s="6"/>
      <c r="L417" s="6"/>
      <c r="M417" s="6"/>
      <c r="N417" s="6"/>
    </row>
    <row r="418" spans="1:14">
      <c r="A418" s="5"/>
      <c r="B418" s="5"/>
      <c r="C418" s="5"/>
      <c r="D418" s="5"/>
      <c r="E418" s="5"/>
      <c r="F418" s="6"/>
      <c r="G418" s="6"/>
      <c r="H418" s="6"/>
      <c r="I418" s="6"/>
      <c r="J418" s="6"/>
      <c r="K418" s="6"/>
      <c r="L418" s="6"/>
      <c r="M418" s="6"/>
      <c r="N418" s="6"/>
    </row>
    <row r="419" spans="1:14">
      <c r="A419" s="5"/>
      <c r="B419" s="5"/>
      <c r="C419" s="5"/>
      <c r="D419" s="5"/>
      <c r="E419" s="5"/>
      <c r="F419" s="6"/>
      <c r="G419" s="6"/>
      <c r="H419" s="6"/>
      <c r="I419" s="6"/>
      <c r="J419" s="6"/>
      <c r="K419" s="6"/>
      <c r="L419" s="6"/>
      <c r="M419" s="6"/>
      <c r="N419" s="6"/>
    </row>
    <row r="420" spans="1:14">
      <c r="A420" s="5"/>
      <c r="B420" s="5"/>
      <c r="C420" s="5"/>
      <c r="D420" s="5"/>
      <c r="E420" s="5"/>
      <c r="F420" s="6"/>
      <c r="G420" s="6"/>
      <c r="H420" s="6"/>
      <c r="I420" s="6"/>
      <c r="J420" s="6"/>
      <c r="K420" s="6"/>
      <c r="L420" s="6"/>
      <c r="M420" s="6"/>
      <c r="N420" s="6"/>
    </row>
    <row r="421" spans="1:14">
      <c r="A421" s="5"/>
      <c r="B421" s="5"/>
      <c r="C421" s="5"/>
      <c r="D421" s="5"/>
      <c r="E421" s="5"/>
      <c r="F421" s="6"/>
      <c r="G421" s="6"/>
      <c r="H421" s="6"/>
      <c r="I421" s="6"/>
      <c r="J421" s="6"/>
      <c r="K421" s="6"/>
      <c r="L421" s="6"/>
      <c r="M421" s="6"/>
      <c r="N421" s="6"/>
    </row>
    <row r="422" spans="1:14">
      <c r="A422" s="5"/>
      <c r="B422" s="5"/>
      <c r="C422" s="5"/>
      <c r="D422" s="5"/>
      <c r="E422" s="5"/>
      <c r="F422" s="6"/>
      <c r="G422" s="6"/>
      <c r="H422" s="6"/>
      <c r="I422" s="6"/>
      <c r="J422" s="6"/>
      <c r="K422" s="6"/>
      <c r="L422" s="6"/>
      <c r="M422" s="6"/>
      <c r="N422" s="6"/>
    </row>
    <row r="423" spans="1:14">
      <c r="A423" s="5"/>
      <c r="B423" s="5"/>
      <c r="C423" s="5"/>
      <c r="D423" s="5"/>
      <c r="E423" s="5"/>
      <c r="F423" s="6"/>
      <c r="G423" s="6"/>
      <c r="H423" s="6"/>
      <c r="I423" s="6"/>
      <c r="J423" s="6"/>
      <c r="K423" s="6"/>
      <c r="L423" s="6"/>
      <c r="M423" s="6"/>
      <c r="N423" s="6"/>
    </row>
    <row r="424" spans="1:14">
      <c r="A424" s="5"/>
      <c r="B424" s="5"/>
      <c r="C424" s="5"/>
      <c r="D424" s="5"/>
      <c r="E424" s="5"/>
      <c r="F424" s="6"/>
      <c r="G424" s="6"/>
      <c r="H424" s="6"/>
      <c r="I424" s="6"/>
      <c r="J424" s="6"/>
      <c r="K424" s="6"/>
      <c r="L424" s="6"/>
      <c r="M424" s="6"/>
      <c r="N424" s="6"/>
    </row>
    <row r="425" spans="1:14">
      <c r="A425" s="5"/>
      <c r="B425" s="5"/>
      <c r="C425" s="5"/>
      <c r="D425" s="5"/>
      <c r="E425" s="5"/>
      <c r="F425" s="6"/>
      <c r="G425" s="6"/>
      <c r="H425" s="6"/>
      <c r="I425" s="6"/>
      <c r="J425" s="6"/>
      <c r="K425" s="6"/>
      <c r="L425" s="6"/>
      <c r="M425" s="6"/>
      <c r="N425" s="6"/>
    </row>
    <row r="426" spans="1:14">
      <c r="A426" s="5"/>
      <c r="B426" s="5"/>
      <c r="C426" s="5"/>
      <c r="D426" s="5"/>
      <c r="E426" s="5"/>
      <c r="F426" s="6"/>
      <c r="G426" s="6"/>
      <c r="H426" s="6"/>
      <c r="I426" s="6"/>
      <c r="J426" s="6"/>
      <c r="K426" s="6"/>
      <c r="L426" s="6"/>
      <c r="M426" s="6"/>
      <c r="N426" s="6"/>
    </row>
    <row r="427" spans="1:14">
      <c r="A427" s="5"/>
      <c r="B427" s="5"/>
      <c r="C427" s="5"/>
      <c r="D427" s="5"/>
      <c r="E427" s="5"/>
      <c r="F427" s="6"/>
      <c r="G427" s="6"/>
      <c r="H427" s="6"/>
      <c r="I427" s="6"/>
      <c r="J427" s="6"/>
      <c r="K427" s="6"/>
      <c r="L427" s="6"/>
      <c r="M427" s="6"/>
      <c r="N427" s="6"/>
    </row>
    <row r="428" spans="1:14">
      <c r="A428" s="5"/>
      <c r="B428" s="5"/>
      <c r="C428" s="5"/>
      <c r="D428" s="5"/>
      <c r="E428" s="5"/>
      <c r="F428" s="6"/>
      <c r="G428" s="6"/>
      <c r="H428" s="6"/>
      <c r="I428" s="6"/>
      <c r="J428" s="6"/>
      <c r="K428" s="6"/>
      <c r="L428" s="6"/>
      <c r="M428" s="6"/>
      <c r="N428" s="6"/>
    </row>
    <row r="429" spans="1:14">
      <c r="A429" s="5"/>
      <c r="B429" s="5"/>
      <c r="C429" s="5"/>
      <c r="D429" s="5"/>
      <c r="E429" s="5"/>
      <c r="F429" s="6"/>
      <c r="G429" s="6"/>
      <c r="H429" s="6"/>
      <c r="I429" s="6"/>
      <c r="J429" s="6"/>
      <c r="K429" s="6"/>
      <c r="L429" s="6"/>
      <c r="M429" s="6"/>
      <c r="N429" s="6"/>
    </row>
    <row r="430" spans="1:14">
      <c r="A430" s="5"/>
      <c r="B430" s="5"/>
      <c r="C430" s="5"/>
      <c r="D430" s="5"/>
      <c r="E430" s="5"/>
      <c r="F430" s="6"/>
      <c r="G430" s="6"/>
      <c r="H430" s="6"/>
      <c r="I430" s="6"/>
      <c r="J430" s="6"/>
      <c r="K430" s="6"/>
      <c r="L430" s="6"/>
      <c r="M430" s="6"/>
      <c r="N430" s="6"/>
    </row>
    <row r="431" spans="1:14">
      <c r="A431" s="5"/>
      <c r="B431" s="5"/>
      <c r="C431" s="5"/>
      <c r="D431" s="5"/>
      <c r="E431" s="5"/>
      <c r="F431" s="6"/>
      <c r="G431" s="6"/>
      <c r="H431" s="6"/>
      <c r="I431" s="6"/>
      <c r="J431" s="6"/>
      <c r="K431" s="6"/>
      <c r="L431" s="6"/>
      <c r="M431" s="6"/>
      <c r="N431" s="6"/>
    </row>
    <row r="432" spans="1:14">
      <c r="A432" s="5"/>
      <c r="B432" s="5"/>
      <c r="C432" s="5"/>
      <c r="D432" s="5"/>
      <c r="E432" s="5"/>
      <c r="F432" s="6"/>
      <c r="G432" s="6"/>
      <c r="H432" s="6"/>
      <c r="I432" s="6"/>
      <c r="J432" s="6"/>
      <c r="K432" s="6"/>
      <c r="L432" s="6"/>
      <c r="M432" s="6"/>
      <c r="N432" s="6"/>
    </row>
    <row r="433" spans="1:14">
      <c r="A433" s="5"/>
      <c r="B433" s="5"/>
      <c r="C433" s="5"/>
      <c r="D433" s="5"/>
      <c r="E433" s="5"/>
      <c r="F433" s="6"/>
      <c r="G433" s="6"/>
      <c r="H433" s="6"/>
      <c r="I433" s="6"/>
      <c r="J433" s="6"/>
      <c r="K433" s="6"/>
      <c r="L433" s="6"/>
      <c r="M433" s="6"/>
      <c r="N433" s="6"/>
    </row>
    <row r="434" spans="1:14">
      <c r="A434" s="5"/>
      <c r="B434" s="5"/>
      <c r="C434" s="5"/>
      <c r="D434" s="5"/>
      <c r="E434" s="5"/>
      <c r="F434" s="6"/>
      <c r="G434" s="6"/>
      <c r="H434" s="6"/>
      <c r="I434" s="6"/>
      <c r="J434" s="6"/>
      <c r="K434" s="6"/>
      <c r="L434" s="6"/>
      <c r="M434" s="6"/>
      <c r="N434" s="6"/>
    </row>
    <row r="435" spans="1:14">
      <c r="A435" s="5"/>
      <c r="B435" s="5"/>
      <c r="C435" s="5"/>
      <c r="D435" s="5"/>
      <c r="E435" s="5"/>
      <c r="F435" s="6"/>
      <c r="G435" s="6"/>
      <c r="H435" s="6"/>
      <c r="I435" s="6"/>
      <c r="J435" s="6"/>
      <c r="K435" s="6"/>
      <c r="L435" s="6"/>
      <c r="M435" s="6"/>
      <c r="N435" s="6"/>
    </row>
    <row r="436" spans="1:14">
      <c r="A436" s="5"/>
      <c r="B436" s="5"/>
      <c r="C436" s="5"/>
      <c r="D436" s="5"/>
      <c r="E436" s="5"/>
      <c r="F436" s="6"/>
      <c r="G436" s="6"/>
      <c r="H436" s="6"/>
      <c r="I436" s="6"/>
      <c r="J436" s="6"/>
      <c r="K436" s="6"/>
      <c r="L436" s="6"/>
      <c r="M436" s="6"/>
      <c r="N436" s="6"/>
    </row>
    <row r="437" spans="1:14">
      <c r="A437" s="5"/>
      <c r="B437" s="5"/>
      <c r="C437" s="5"/>
      <c r="D437" s="5"/>
      <c r="E437" s="5"/>
      <c r="F437" s="6"/>
      <c r="G437" s="6"/>
      <c r="H437" s="6"/>
      <c r="I437" s="6"/>
      <c r="J437" s="6"/>
      <c r="K437" s="6"/>
      <c r="L437" s="6"/>
      <c r="M437" s="6"/>
      <c r="N437" s="6"/>
    </row>
    <row r="438" spans="1:14">
      <c r="A438" s="5"/>
      <c r="B438" s="5"/>
      <c r="C438" s="5"/>
      <c r="D438" s="5"/>
      <c r="E438" s="5"/>
      <c r="F438" s="6"/>
      <c r="G438" s="6"/>
      <c r="H438" s="6"/>
      <c r="I438" s="6"/>
      <c r="J438" s="6"/>
      <c r="K438" s="6"/>
      <c r="L438" s="6"/>
      <c r="M438" s="6"/>
      <c r="N438" s="6"/>
    </row>
    <row r="439" spans="1:14">
      <c r="A439" s="5"/>
      <c r="B439" s="5"/>
      <c r="C439" s="5"/>
      <c r="D439" s="5"/>
      <c r="E439" s="5"/>
      <c r="F439" s="6"/>
      <c r="G439" s="6"/>
      <c r="H439" s="6"/>
      <c r="I439" s="6"/>
      <c r="J439" s="6"/>
      <c r="K439" s="6"/>
      <c r="L439" s="6"/>
      <c r="M439" s="6"/>
      <c r="N439" s="6"/>
    </row>
    <row r="440" spans="1:14">
      <c r="A440" s="5"/>
      <c r="B440" s="5"/>
      <c r="C440" s="5"/>
      <c r="D440" s="5"/>
      <c r="E440" s="5"/>
      <c r="F440" s="6"/>
      <c r="G440" s="6"/>
      <c r="H440" s="6"/>
      <c r="I440" s="6"/>
      <c r="J440" s="6"/>
      <c r="K440" s="6"/>
      <c r="L440" s="6"/>
      <c r="M440" s="6"/>
      <c r="N440" s="6"/>
    </row>
    <row r="441" spans="1:14">
      <c r="A441" s="5"/>
      <c r="B441" s="5"/>
      <c r="C441" s="5"/>
      <c r="D441" s="5"/>
      <c r="E441" s="5"/>
      <c r="F441" s="6"/>
      <c r="G441" s="6"/>
      <c r="H441" s="6"/>
      <c r="I441" s="6"/>
      <c r="J441" s="6"/>
      <c r="K441" s="6"/>
      <c r="L441" s="6"/>
      <c r="M441" s="6"/>
      <c r="N441" s="6"/>
    </row>
    <row r="442" spans="1:14">
      <c r="A442" s="5"/>
      <c r="B442" s="5"/>
      <c r="C442" s="5"/>
      <c r="D442" s="5"/>
      <c r="E442" s="5"/>
      <c r="F442" s="6"/>
      <c r="G442" s="6"/>
      <c r="H442" s="6"/>
      <c r="I442" s="6"/>
      <c r="J442" s="6"/>
      <c r="K442" s="6"/>
      <c r="L442" s="6"/>
      <c r="M442" s="6"/>
      <c r="N442" s="6"/>
    </row>
    <row r="443" spans="1:14">
      <c r="A443" s="5"/>
      <c r="B443" s="5"/>
      <c r="C443" s="5"/>
      <c r="D443" s="5"/>
      <c r="E443" s="5"/>
      <c r="F443" s="6"/>
      <c r="G443" s="6"/>
      <c r="H443" s="6"/>
      <c r="I443" s="6"/>
      <c r="J443" s="6"/>
      <c r="K443" s="6"/>
      <c r="L443" s="6"/>
      <c r="M443" s="6"/>
      <c r="N443" s="6"/>
    </row>
    <row r="444" spans="1:14">
      <c r="A444" s="5"/>
      <c r="B444" s="5"/>
      <c r="C444" s="5"/>
      <c r="D444" s="5"/>
      <c r="E444" s="5"/>
      <c r="F444" s="6"/>
      <c r="G444" s="6"/>
      <c r="H444" s="6"/>
      <c r="I444" s="6"/>
      <c r="J444" s="6"/>
      <c r="K444" s="6"/>
      <c r="L444" s="6"/>
      <c r="M444" s="6"/>
      <c r="N444" s="6"/>
    </row>
    <row r="445" spans="1:14">
      <c r="A445" s="5"/>
      <c r="B445" s="5"/>
      <c r="C445" s="5"/>
      <c r="D445" s="5"/>
      <c r="E445" s="5"/>
      <c r="F445" s="6"/>
      <c r="G445" s="6"/>
      <c r="H445" s="6"/>
      <c r="I445" s="6"/>
      <c r="J445" s="6"/>
      <c r="K445" s="6"/>
      <c r="L445" s="6"/>
      <c r="M445" s="6"/>
      <c r="N445" s="6"/>
    </row>
    <row r="446" spans="1:14">
      <c r="A446" s="5"/>
      <c r="B446" s="5"/>
      <c r="C446" s="5"/>
      <c r="D446" s="5"/>
      <c r="E446" s="5"/>
      <c r="F446" s="6"/>
      <c r="G446" s="6"/>
      <c r="H446" s="6"/>
      <c r="I446" s="6"/>
      <c r="J446" s="6"/>
      <c r="K446" s="6"/>
      <c r="L446" s="6"/>
      <c r="M446" s="6"/>
      <c r="N446" s="6"/>
    </row>
    <row r="447" spans="1:14">
      <c r="A447" s="5"/>
      <c r="B447" s="5"/>
      <c r="C447" s="5"/>
      <c r="D447" s="5"/>
      <c r="E447" s="5"/>
      <c r="F447" s="6"/>
      <c r="G447" s="6"/>
      <c r="H447" s="6"/>
      <c r="I447" s="6"/>
      <c r="J447" s="6"/>
      <c r="K447" s="6"/>
      <c r="L447" s="6"/>
      <c r="M447" s="6"/>
      <c r="N447" s="6"/>
    </row>
    <row r="448" spans="1:14">
      <c r="A448" s="5"/>
      <c r="B448" s="5"/>
      <c r="C448" s="5"/>
      <c r="D448" s="5"/>
      <c r="E448" s="5"/>
      <c r="F448" s="6"/>
      <c r="G448" s="6"/>
      <c r="H448" s="6"/>
      <c r="I448" s="6"/>
      <c r="J448" s="6"/>
      <c r="K448" s="6"/>
      <c r="L448" s="6"/>
      <c r="M448" s="6"/>
      <c r="N448" s="6"/>
    </row>
    <row r="449" spans="1:14">
      <c r="A449" s="5"/>
      <c r="B449" s="5"/>
      <c r="C449" s="5"/>
      <c r="D449" s="5"/>
      <c r="E449" s="5"/>
      <c r="F449" s="6"/>
      <c r="G449" s="6"/>
      <c r="H449" s="6"/>
      <c r="I449" s="6"/>
      <c r="J449" s="6"/>
      <c r="K449" s="6"/>
      <c r="L449" s="6"/>
      <c r="M449" s="6"/>
      <c r="N449" s="6"/>
    </row>
    <row r="450" spans="1:14">
      <c r="A450" s="5"/>
      <c r="B450" s="5"/>
      <c r="C450" s="5"/>
      <c r="D450" s="5"/>
      <c r="E450" s="5"/>
      <c r="F450" s="6"/>
      <c r="G450" s="6"/>
      <c r="H450" s="6"/>
      <c r="I450" s="6"/>
      <c r="J450" s="6"/>
      <c r="K450" s="6"/>
      <c r="L450" s="6"/>
      <c r="M450" s="6"/>
      <c r="N450" s="6"/>
    </row>
    <row r="451" spans="1:14">
      <c r="A451" s="5"/>
      <c r="B451" s="5"/>
      <c r="C451" s="5"/>
      <c r="D451" s="5"/>
      <c r="E451" s="5"/>
      <c r="F451" s="6"/>
      <c r="G451" s="6"/>
      <c r="H451" s="6"/>
      <c r="I451" s="6"/>
      <c r="J451" s="6"/>
      <c r="K451" s="6"/>
      <c r="L451" s="6"/>
      <c r="M451" s="6"/>
      <c r="N451" s="6"/>
    </row>
    <row r="452" spans="1:14">
      <c r="A452" s="5"/>
      <c r="B452" s="5"/>
      <c r="C452" s="5"/>
      <c r="D452" s="5"/>
      <c r="E452" s="5"/>
      <c r="F452" s="6"/>
      <c r="G452" s="6"/>
      <c r="H452" s="6"/>
      <c r="I452" s="6"/>
      <c r="J452" s="6"/>
      <c r="K452" s="6"/>
      <c r="L452" s="6"/>
      <c r="M452" s="6"/>
      <c r="N452" s="6"/>
    </row>
    <row r="453" spans="1:14">
      <c r="A453" s="5"/>
      <c r="B453" s="5"/>
      <c r="C453" s="5"/>
      <c r="D453" s="5"/>
      <c r="E453" s="5"/>
      <c r="F453" s="6"/>
      <c r="G453" s="6"/>
      <c r="H453" s="6"/>
      <c r="I453" s="6"/>
      <c r="J453" s="6"/>
      <c r="K453" s="6"/>
      <c r="L453" s="6"/>
      <c r="M453" s="6"/>
      <c r="N453" s="6"/>
    </row>
    <row r="454" spans="1:14">
      <c r="A454" s="5"/>
      <c r="B454" s="5"/>
      <c r="C454" s="5"/>
      <c r="D454" s="5"/>
      <c r="E454" s="5"/>
      <c r="F454" s="6"/>
      <c r="G454" s="6"/>
      <c r="H454" s="6"/>
      <c r="I454" s="6"/>
      <c r="J454" s="6"/>
      <c r="K454" s="6"/>
      <c r="L454" s="6"/>
      <c r="M454" s="6"/>
      <c r="N454" s="6"/>
    </row>
    <row r="455" spans="1:14">
      <c r="A455" s="5"/>
      <c r="B455" s="5"/>
      <c r="C455" s="5"/>
      <c r="D455" s="5"/>
      <c r="E455" s="5"/>
      <c r="F455" s="6"/>
      <c r="G455" s="6"/>
      <c r="H455" s="6"/>
      <c r="I455" s="6"/>
      <c r="J455" s="6"/>
      <c r="K455" s="6"/>
      <c r="L455" s="6"/>
      <c r="M455" s="6"/>
      <c r="N455" s="6"/>
    </row>
    <row r="456" spans="1:14">
      <c r="A456" s="5"/>
      <c r="B456" s="5"/>
      <c r="C456" s="5"/>
      <c r="D456" s="5"/>
      <c r="E456" s="5"/>
      <c r="F456" s="6"/>
      <c r="G456" s="6"/>
      <c r="H456" s="6"/>
      <c r="I456" s="6"/>
      <c r="J456" s="6"/>
      <c r="K456" s="6"/>
      <c r="L456" s="6"/>
      <c r="M456" s="6"/>
      <c r="N456" s="6"/>
    </row>
    <row r="457" spans="1:14">
      <c r="A457" s="5"/>
      <c r="B457" s="5"/>
      <c r="C457" s="5"/>
      <c r="D457" s="5"/>
      <c r="E457" s="5"/>
      <c r="F457" s="6"/>
      <c r="G457" s="6"/>
      <c r="H457" s="6"/>
      <c r="I457" s="6"/>
      <c r="J457" s="6"/>
      <c r="K457" s="6"/>
      <c r="L457" s="6"/>
      <c r="M457" s="6"/>
      <c r="N457" s="6"/>
    </row>
    <row r="458" spans="1:14">
      <c r="A458" s="5"/>
      <c r="B458" s="5"/>
      <c r="C458" s="5"/>
      <c r="D458" s="5"/>
      <c r="E458" s="5"/>
      <c r="F458" s="6"/>
      <c r="G458" s="6"/>
      <c r="H458" s="6"/>
      <c r="I458" s="6"/>
      <c r="J458" s="6"/>
      <c r="K458" s="6"/>
      <c r="L458" s="6"/>
      <c r="M458" s="6"/>
      <c r="N458" s="6"/>
    </row>
    <row r="459" spans="1:14">
      <c r="A459" s="5"/>
      <c r="B459" s="5"/>
      <c r="C459" s="5"/>
      <c r="D459" s="5"/>
      <c r="E459" s="5"/>
      <c r="F459" s="6"/>
      <c r="G459" s="6"/>
      <c r="H459" s="6"/>
      <c r="I459" s="6"/>
      <c r="J459" s="6"/>
      <c r="K459" s="6"/>
      <c r="L459" s="6"/>
      <c r="M459" s="6"/>
      <c r="N459" s="6"/>
    </row>
    <row r="460" spans="1:14">
      <c r="A460" s="5"/>
      <c r="B460" s="5"/>
      <c r="C460" s="5"/>
      <c r="D460" s="5"/>
      <c r="E460" s="5"/>
      <c r="F460" s="6"/>
      <c r="G460" s="6"/>
      <c r="H460" s="6"/>
      <c r="I460" s="6"/>
      <c r="J460" s="6"/>
      <c r="K460" s="6"/>
      <c r="L460" s="6"/>
      <c r="M460" s="6"/>
      <c r="N460" s="6"/>
    </row>
    <row r="461" spans="1:14">
      <c r="A461" s="5"/>
      <c r="B461" s="5"/>
      <c r="C461" s="5"/>
      <c r="D461" s="5"/>
      <c r="E461" s="5"/>
      <c r="F461" s="6"/>
      <c r="G461" s="6"/>
      <c r="H461" s="6"/>
      <c r="I461" s="6"/>
      <c r="J461" s="6"/>
      <c r="K461" s="6"/>
      <c r="L461" s="6"/>
      <c r="M461" s="6"/>
      <c r="N461" s="6"/>
    </row>
    <row r="462" spans="1:14">
      <c r="A462" s="5"/>
      <c r="B462" s="5"/>
      <c r="C462" s="5"/>
      <c r="D462" s="5"/>
      <c r="E462" s="5"/>
      <c r="F462" s="6"/>
      <c r="G462" s="6"/>
      <c r="H462" s="6"/>
      <c r="I462" s="6"/>
      <c r="J462" s="6"/>
      <c r="K462" s="6"/>
      <c r="L462" s="6"/>
      <c r="M462" s="6"/>
      <c r="N462" s="6"/>
    </row>
    <row r="463" spans="1:14">
      <c r="A463" s="5"/>
      <c r="B463" s="5"/>
      <c r="C463" s="5"/>
      <c r="D463" s="5"/>
      <c r="E463" s="5"/>
      <c r="F463" s="6"/>
      <c r="G463" s="6"/>
      <c r="H463" s="6"/>
      <c r="I463" s="6"/>
      <c r="J463" s="6"/>
      <c r="K463" s="6"/>
      <c r="L463" s="6"/>
      <c r="M463" s="6"/>
      <c r="N463" s="6"/>
    </row>
    <row r="464" spans="1:14">
      <c r="A464" s="5"/>
      <c r="B464" s="5"/>
      <c r="C464" s="5"/>
      <c r="D464" s="5"/>
      <c r="E464" s="5"/>
      <c r="F464" s="6"/>
      <c r="G464" s="6"/>
      <c r="H464" s="6"/>
      <c r="I464" s="6"/>
      <c r="J464" s="6"/>
      <c r="K464" s="6"/>
      <c r="L464" s="6"/>
      <c r="M464" s="6"/>
      <c r="N464" s="6"/>
    </row>
    <row r="465" spans="1:14">
      <c r="A465" s="5"/>
      <c r="B465" s="5"/>
      <c r="C465" s="5"/>
      <c r="D465" s="5"/>
      <c r="E465" s="5"/>
      <c r="F465" s="6"/>
      <c r="G465" s="6"/>
      <c r="H465" s="6"/>
      <c r="I465" s="6"/>
      <c r="J465" s="6"/>
      <c r="K465" s="6"/>
      <c r="L465" s="6"/>
      <c r="M465" s="6"/>
      <c r="N465" s="6"/>
    </row>
    <row r="466" spans="1:14">
      <c r="A466" s="5"/>
      <c r="B466" s="5"/>
      <c r="C466" s="5"/>
      <c r="D466" s="5"/>
      <c r="E466" s="5"/>
      <c r="F466" s="6"/>
      <c r="G466" s="6"/>
      <c r="H466" s="6"/>
      <c r="I466" s="6"/>
      <c r="J466" s="6"/>
      <c r="K466" s="6"/>
      <c r="L466" s="6"/>
      <c r="M466" s="6"/>
      <c r="N466" s="6"/>
    </row>
    <row r="467" spans="1:14">
      <c r="A467" s="5"/>
      <c r="B467" s="5"/>
      <c r="C467" s="5"/>
      <c r="D467" s="5"/>
      <c r="E467" s="5"/>
      <c r="F467" s="6"/>
      <c r="G467" s="6"/>
      <c r="H467" s="6"/>
      <c r="I467" s="6"/>
      <c r="J467" s="6"/>
      <c r="K467" s="6"/>
      <c r="L467" s="6"/>
      <c r="M467" s="6"/>
      <c r="N467" s="6"/>
    </row>
    <row r="468" spans="1:14">
      <c r="A468" s="5"/>
      <c r="B468" s="5"/>
      <c r="C468" s="5"/>
      <c r="D468" s="5"/>
      <c r="E468" s="5"/>
      <c r="F468" s="6"/>
      <c r="G468" s="6"/>
      <c r="H468" s="6"/>
      <c r="I468" s="6"/>
      <c r="J468" s="6"/>
      <c r="K468" s="6"/>
      <c r="L468" s="6"/>
      <c r="M468" s="6"/>
      <c r="N468" s="6"/>
    </row>
    <row r="469" spans="1:14">
      <c r="A469" s="5"/>
      <c r="B469" s="5"/>
      <c r="C469" s="5"/>
      <c r="D469" s="5"/>
      <c r="E469" s="5"/>
      <c r="F469" s="6"/>
      <c r="G469" s="6"/>
      <c r="H469" s="6"/>
      <c r="I469" s="6"/>
      <c r="J469" s="6"/>
      <c r="K469" s="6"/>
      <c r="L469" s="6"/>
      <c r="M469" s="6"/>
      <c r="N469" s="6"/>
    </row>
    <row r="470" spans="1:14">
      <c r="A470" s="5"/>
      <c r="B470" s="5"/>
      <c r="C470" s="5"/>
      <c r="D470" s="5"/>
      <c r="E470" s="5"/>
      <c r="F470" s="6"/>
      <c r="G470" s="6"/>
      <c r="H470" s="6"/>
      <c r="I470" s="6"/>
      <c r="J470" s="6"/>
      <c r="K470" s="6"/>
      <c r="L470" s="6"/>
      <c r="M470" s="6"/>
      <c r="N470" s="6"/>
    </row>
    <row r="471" spans="1:14">
      <c r="A471" s="5"/>
      <c r="B471" s="5"/>
      <c r="C471" s="5"/>
      <c r="D471" s="5"/>
      <c r="E471" s="5"/>
      <c r="F471" s="6"/>
      <c r="G471" s="6"/>
      <c r="H471" s="6"/>
      <c r="I471" s="6"/>
      <c r="J471" s="6"/>
      <c r="K471" s="6"/>
      <c r="L471" s="6"/>
      <c r="M471" s="6"/>
      <c r="N471" s="6"/>
    </row>
    <row r="472" spans="1:14">
      <c r="A472" s="5"/>
      <c r="B472" s="5"/>
      <c r="C472" s="5"/>
      <c r="D472" s="5"/>
      <c r="E472" s="5"/>
      <c r="F472" s="6"/>
      <c r="G472" s="6"/>
      <c r="H472" s="6"/>
      <c r="I472" s="6"/>
      <c r="J472" s="6"/>
      <c r="K472" s="6"/>
      <c r="L472" s="6"/>
      <c r="M472" s="6"/>
      <c r="N472" s="6"/>
    </row>
    <row r="473" spans="1:14">
      <c r="A473" s="5"/>
      <c r="B473" s="5"/>
      <c r="C473" s="5"/>
      <c r="D473" s="5"/>
      <c r="E473" s="5"/>
      <c r="F473" s="6"/>
      <c r="G473" s="6"/>
      <c r="H473" s="6"/>
      <c r="I473" s="6"/>
      <c r="J473" s="6"/>
      <c r="K473" s="6"/>
      <c r="L473" s="6"/>
      <c r="M473" s="6"/>
      <c r="N473" s="6"/>
    </row>
    <row r="474" spans="1:14">
      <c r="A474" s="5"/>
      <c r="B474" s="5"/>
      <c r="C474" s="5"/>
      <c r="D474" s="5"/>
      <c r="E474" s="5"/>
      <c r="F474" s="6"/>
      <c r="G474" s="6"/>
      <c r="H474" s="6"/>
      <c r="I474" s="6"/>
      <c r="J474" s="6"/>
      <c r="K474" s="6"/>
      <c r="L474" s="6"/>
      <c r="M474" s="6"/>
      <c r="N474" s="6"/>
    </row>
    <row r="475" spans="1:14">
      <c r="A475" s="5"/>
      <c r="B475" s="5"/>
      <c r="C475" s="5"/>
      <c r="D475" s="5"/>
      <c r="E475" s="5"/>
      <c r="F475" s="6"/>
      <c r="G475" s="6"/>
      <c r="H475" s="6"/>
      <c r="I475" s="6"/>
      <c r="J475" s="6"/>
      <c r="K475" s="6"/>
      <c r="L475" s="6"/>
      <c r="M475" s="6"/>
      <c r="N475" s="6"/>
    </row>
    <row r="476" spans="1:14">
      <c r="A476" s="5"/>
      <c r="B476" s="5"/>
      <c r="C476" s="5"/>
      <c r="D476" s="5"/>
      <c r="E476" s="5"/>
      <c r="F476" s="6"/>
      <c r="G476" s="6"/>
      <c r="H476" s="6"/>
      <c r="I476" s="6"/>
      <c r="J476" s="6"/>
      <c r="K476" s="6"/>
      <c r="L476" s="6"/>
      <c r="M476" s="6"/>
      <c r="N476" s="6"/>
    </row>
    <row r="477" spans="1:14">
      <c r="A477" s="5"/>
      <c r="B477" s="5"/>
      <c r="C477" s="5"/>
      <c r="D477" s="5"/>
      <c r="E477" s="5"/>
      <c r="F477" s="6"/>
      <c r="G477" s="6"/>
      <c r="H477" s="6"/>
      <c r="I477" s="6"/>
      <c r="J477" s="6"/>
      <c r="K477" s="6"/>
      <c r="L477" s="6"/>
      <c r="M477" s="6"/>
      <c r="N477" s="6"/>
    </row>
    <row r="478" spans="1:14">
      <c r="A478" s="5"/>
      <c r="B478" s="5"/>
      <c r="C478" s="5"/>
      <c r="D478" s="5"/>
      <c r="E478" s="5"/>
      <c r="F478" s="6"/>
      <c r="G478" s="6"/>
      <c r="H478" s="6"/>
      <c r="I478" s="6"/>
      <c r="J478" s="6"/>
      <c r="K478" s="6"/>
      <c r="L478" s="6"/>
      <c r="M478" s="6"/>
      <c r="N478" s="6"/>
    </row>
    <row r="479" spans="1:14">
      <c r="A479" s="5"/>
      <c r="B479" s="5"/>
      <c r="C479" s="5"/>
      <c r="D479" s="5"/>
      <c r="E479" s="5"/>
      <c r="F479" s="6"/>
      <c r="G479" s="6"/>
      <c r="H479" s="6"/>
      <c r="I479" s="6"/>
      <c r="J479" s="6"/>
      <c r="K479" s="6"/>
      <c r="L479" s="6"/>
      <c r="M479" s="6"/>
      <c r="N479" s="6"/>
    </row>
    <row r="480" spans="1:14">
      <c r="A480" s="5"/>
      <c r="B480" s="5"/>
      <c r="C480" s="5"/>
      <c r="D480" s="5"/>
      <c r="E480" s="5"/>
      <c r="F480" s="6"/>
      <c r="G480" s="6"/>
      <c r="H480" s="6"/>
      <c r="I480" s="6"/>
      <c r="J480" s="6"/>
      <c r="K480" s="6"/>
      <c r="L480" s="6"/>
      <c r="M480" s="6"/>
      <c r="N480" s="6"/>
    </row>
    <row r="481" spans="1:14">
      <c r="A481" s="5"/>
      <c r="B481" s="5"/>
      <c r="C481" s="5"/>
      <c r="D481" s="5"/>
      <c r="E481" s="5"/>
      <c r="F481" s="6"/>
      <c r="G481" s="6"/>
      <c r="H481" s="6"/>
      <c r="I481" s="6"/>
      <c r="J481" s="6"/>
      <c r="K481" s="6"/>
      <c r="L481" s="6"/>
      <c r="M481" s="6"/>
      <c r="N481" s="6"/>
    </row>
    <row r="482" spans="1:14">
      <c r="A482" s="5"/>
      <c r="B482" s="5"/>
      <c r="C482" s="5"/>
      <c r="D482" s="5"/>
      <c r="E482" s="5"/>
      <c r="F482" s="6"/>
      <c r="G482" s="6"/>
      <c r="H482" s="6"/>
      <c r="I482" s="6"/>
      <c r="J482" s="6"/>
      <c r="K482" s="6"/>
      <c r="L482" s="6"/>
      <c r="M482" s="6"/>
      <c r="N482" s="6"/>
    </row>
    <row r="483" spans="1:14">
      <c r="A483" s="5"/>
      <c r="B483" s="5"/>
      <c r="C483" s="5"/>
      <c r="D483" s="5"/>
      <c r="E483" s="5"/>
      <c r="F483" s="6"/>
      <c r="G483" s="6"/>
      <c r="H483" s="6"/>
      <c r="I483" s="6"/>
      <c r="J483" s="6"/>
      <c r="K483" s="6"/>
      <c r="L483" s="6"/>
      <c r="M483" s="6"/>
      <c r="N483" s="6"/>
    </row>
    <row r="484" spans="1:14">
      <c r="A484" s="5"/>
      <c r="B484" s="5"/>
      <c r="C484" s="5"/>
      <c r="D484" s="5"/>
      <c r="E484" s="5"/>
      <c r="F484" s="6"/>
      <c r="G484" s="6"/>
      <c r="H484" s="6"/>
      <c r="I484" s="6"/>
      <c r="J484" s="6"/>
      <c r="K484" s="6"/>
      <c r="L484" s="6"/>
      <c r="M484" s="6"/>
      <c r="N484" s="6"/>
    </row>
    <row r="485" spans="1:14">
      <c r="A485" s="5"/>
      <c r="B485" s="5"/>
      <c r="C485" s="5"/>
      <c r="D485" s="5"/>
      <c r="E485" s="5"/>
      <c r="F485" s="6"/>
      <c r="G485" s="6"/>
      <c r="H485" s="6"/>
      <c r="I485" s="6"/>
      <c r="J485" s="6"/>
      <c r="K485" s="6"/>
      <c r="L485" s="6"/>
      <c r="M485" s="6"/>
      <c r="N485" s="6"/>
    </row>
    <row r="486" spans="1:14">
      <c r="A486" s="5"/>
      <c r="B486" s="5"/>
      <c r="C486" s="5"/>
      <c r="D486" s="5"/>
      <c r="E486" s="5"/>
      <c r="F486" s="6"/>
      <c r="G486" s="6"/>
      <c r="H486" s="6"/>
      <c r="I486" s="6"/>
      <c r="J486" s="6"/>
      <c r="K486" s="6"/>
      <c r="L486" s="6"/>
      <c r="M486" s="6"/>
      <c r="N486" s="6"/>
    </row>
    <row r="487" spans="1:14">
      <c r="A487" s="5"/>
      <c r="B487" s="5"/>
      <c r="C487" s="5"/>
      <c r="D487" s="5"/>
      <c r="E487" s="5"/>
      <c r="F487" s="6"/>
      <c r="G487" s="6"/>
      <c r="H487" s="6"/>
      <c r="I487" s="6"/>
      <c r="J487" s="6"/>
      <c r="K487" s="6"/>
      <c r="L487" s="6"/>
      <c r="M487" s="6"/>
      <c r="N487" s="6"/>
    </row>
    <row r="488" spans="1:14">
      <c r="A488" s="5"/>
      <c r="B488" s="5"/>
      <c r="C488" s="5"/>
      <c r="D488" s="5"/>
      <c r="E488" s="5"/>
      <c r="F488" s="6"/>
      <c r="G488" s="6"/>
      <c r="H488" s="6"/>
      <c r="I488" s="6"/>
      <c r="J488" s="6"/>
      <c r="K488" s="6"/>
      <c r="L488" s="6"/>
      <c r="M488" s="6"/>
      <c r="N488" s="6"/>
    </row>
    <row r="489" spans="1:14">
      <c r="A489" s="5"/>
      <c r="B489" s="5"/>
      <c r="C489" s="5"/>
      <c r="D489" s="5"/>
      <c r="E489" s="5"/>
      <c r="F489" s="6"/>
      <c r="G489" s="6"/>
      <c r="H489" s="6"/>
      <c r="I489" s="6"/>
      <c r="J489" s="6"/>
      <c r="K489" s="6"/>
      <c r="L489" s="6"/>
      <c r="M489" s="6"/>
      <c r="N489" s="6"/>
    </row>
    <row r="490" spans="1:14">
      <c r="A490" s="5"/>
      <c r="B490" s="5"/>
      <c r="C490" s="5"/>
      <c r="D490" s="5"/>
      <c r="E490" s="5"/>
      <c r="F490" s="6"/>
      <c r="G490" s="6"/>
      <c r="H490" s="6"/>
      <c r="I490" s="6"/>
      <c r="J490" s="6"/>
      <c r="K490" s="6"/>
      <c r="L490" s="6"/>
      <c r="M490" s="6"/>
      <c r="N490" s="6"/>
    </row>
    <row r="491" spans="1:14">
      <c r="A491" s="5"/>
      <c r="B491" s="5"/>
      <c r="C491" s="5"/>
      <c r="D491" s="5"/>
      <c r="E491" s="5"/>
      <c r="F491" s="6"/>
      <c r="G491" s="6"/>
      <c r="H491" s="6"/>
      <c r="I491" s="6"/>
      <c r="J491" s="6"/>
      <c r="K491" s="6"/>
      <c r="L491" s="6"/>
      <c r="M491" s="6"/>
      <c r="N491" s="6"/>
    </row>
    <row r="492" spans="1:14">
      <c r="A492" s="5"/>
      <c r="B492" s="5"/>
      <c r="C492" s="5"/>
      <c r="D492" s="5"/>
      <c r="E492" s="5"/>
      <c r="F492" s="6"/>
      <c r="G492" s="6"/>
      <c r="H492" s="6"/>
      <c r="I492" s="6"/>
      <c r="J492" s="6"/>
      <c r="K492" s="6"/>
      <c r="L492" s="6"/>
      <c r="M492" s="6"/>
      <c r="N492" s="6"/>
    </row>
    <row r="493" spans="1:14">
      <c r="A493" s="5"/>
      <c r="B493" s="5"/>
      <c r="C493" s="5"/>
      <c r="D493" s="5"/>
      <c r="E493" s="5"/>
      <c r="F493" s="6"/>
      <c r="G493" s="6"/>
      <c r="H493" s="6"/>
      <c r="I493" s="6"/>
      <c r="J493" s="6"/>
      <c r="K493" s="6"/>
      <c r="L493" s="6"/>
      <c r="M493" s="6"/>
      <c r="N493" s="6"/>
    </row>
    <row r="494" spans="1:14">
      <c r="A494" s="5"/>
      <c r="B494" s="5"/>
      <c r="C494" s="5"/>
      <c r="D494" s="5"/>
      <c r="E494" s="5"/>
      <c r="F494" s="6"/>
      <c r="G494" s="6"/>
      <c r="H494" s="6"/>
      <c r="I494" s="6"/>
      <c r="J494" s="6"/>
      <c r="K494" s="6"/>
      <c r="L494" s="6"/>
      <c r="M494" s="6"/>
      <c r="N494" s="6"/>
    </row>
    <row r="495" spans="1:14">
      <c r="A495" s="5"/>
      <c r="B495" s="5"/>
      <c r="C495" s="5"/>
      <c r="D495" s="5"/>
      <c r="E495" s="5"/>
      <c r="F495" s="6"/>
      <c r="G495" s="6"/>
      <c r="H495" s="6"/>
      <c r="I495" s="6"/>
      <c r="J495" s="6"/>
      <c r="K495" s="6"/>
      <c r="L495" s="6"/>
      <c r="M495" s="6"/>
      <c r="N495" s="6"/>
    </row>
    <row r="496" spans="1:14">
      <c r="A496" s="5"/>
      <c r="B496" s="5"/>
      <c r="C496" s="5"/>
      <c r="D496" s="5"/>
      <c r="E496" s="5"/>
      <c r="F496" s="6"/>
      <c r="G496" s="6"/>
      <c r="H496" s="6"/>
      <c r="I496" s="6"/>
      <c r="J496" s="6"/>
      <c r="K496" s="6"/>
      <c r="L496" s="6"/>
      <c r="M496" s="6"/>
      <c r="N496" s="6"/>
    </row>
    <row r="497" spans="1:14">
      <c r="A497" s="5"/>
      <c r="B497" s="5"/>
      <c r="C497" s="5"/>
      <c r="D497" s="5"/>
      <c r="E497" s="5"/>
      <c r="F497" s="6"/>
      <c r="G497" s="6"/>
      <c r="H497" s="6"/>
      <c r="I497" s="6"/>
      <c r="J497" s="6"/>
      <c r="K497" s="6"/>
      <c r="L497" s="6"/>
      <c r="M497" s="6"/>
      <c r="N497" s="6"/>
    </row>
    <row r="498" spans="1:14">
      <c r="A498" s="5"/>
      <c r="B498" s="5"/>
      <c r="C498" s="5"/>
      <c r="D498" s="5"/>
      <c r="E498" s="5"/>
      <c r="F498" s="6"/>
      <c r="G498" s="6"/>
      <c r="H498" s="6"/>
      <c r="I498" s="6"/>
      <c r="J498" s="6"/>
      <c r="K498" s="6"/>
      <c r="L498" s="6"/>
      <c r="M498" s="6"/>
      <c r="N498" s="6"/>
    </row>
    <row r="499" spans="1:14">
      <c r="A499" s="5"/>
      <c r="B499" s="5"/>
      <c r="C499" s="5"/>
      <c r="D499" s="5"/>
      <c r="E499" s="5"/>
      <c r="F499" s="6"/>
      <c r="G499" s="6"/>
      <c r="H499" s="6"/>
      <c r="I499" s="6"/>
      <c r="J499" s="6"/>
      <c r="K499" s="6"/>
      <c r="L499" s="6"/>
      <c r="M499" s="6"/>
      <c r="N499" s="6"/>
    </row>
    <row r="500" spans="1:14">
      <c r="A500" s="5"/>
      <c r="B500" s="5"/>
      <c r="C500" s="5"/>
      <c r="D500" s="5"/>
      <c r="E500" s="5"/>
      <c r="F500" s="6"/>
      <c r="G500" s="6"/>
      <c r="H500" s="6"/>
      <c r="I500" s="6"/>
      <c r="J500" s="6"/>
      <c r="K500" s="6"/>
      <c r="L500" s="6"/>
      <c r="M500" s="6"/>
      <c r="N500" s="6"/>
    </row>
    <row r="501" spans="1:14">
      <c r="A501" s="5"/>
      <c r="B501" s="5"/>
      <c r="C501" s="5"/>
      <c r="D501" s="5"/>
      <c r="E501" s="5"/>
      <c r="F501" s="6"/>
      <c r="G501" s="6"/>
      <c r="H501" s="6"/>
      <c r="I501" s="6"/>
      <c r="J501" s="6"/>
      <c r="K501" s="6"/>
      <c r="L501" s="6"/>
      <c r="M501" s="6"/>
      <c r="N501" s="6"/>
    </row>
    <row r="502" spans="1:14">
      <c r="A502" s="5"/>
      <c r="B502" s="5"/>
      <c r="C502" s="5"/>
      <c r="D502" s="5"/>
      <c r="E502" s="5"/>
      <c r="F502" s="6"/>
      <c r="G502" s="6"/>
      <c r="H502" s="6"/>
      <c r="I502" s="6"/>
      <c r="J502" s="6"/>
      <c r="K502" s="6"/>
      <c r="L502" s="6"/>
      <c r="M502" s="6"/>
      <c r="N502" s="6"/>
    </row>
  </sheetData>
  <autoFilter ref="A3:N5"/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O103"/>
  <sheetViews>
    <sheetView workbookViewId="0">
      <pane ySplit="3" topLeftCell="A4" activePane="bottomLeft" state="frozen"/>
      <selection pane="bottomLeft" activeCell="A4" sqref="A4"/>
    </sheetView>
  </sheetViews>
  <sheetFormatPr defaultRowHeight="14.25"/>
  <cols>
    <col min="1" max="1" width="4.25" style="2" customWidth="1"/>
    <col min="2" max="6" width="12.5" style="2" customWidth="1"/>
    <col min="7" max="15" width="12.5" style="1" customWidth="1"/>
    <col min="16" max="16384" width="9" style="1"/>
  </cols>
  <sheetData>
    <row r="1" spans="1:15" ht="22.5">
      <c r="A1" s="7" t="s">
        <v>15</v>
      </c>
      <c r="B1" s="7"/>
    </row>
    <row r="3" spans="1:15">
      <c r="A3" s="20" t="s">
        <v>17</v>
      </c>
      <c r="B3" s="20" t="s">
        <v>0</v>
      </c>
      <c r="C3" s="20" t="s">
        <v>1</v>
      </c>
      <c r="D3" s="20" t="s">
        <v>2</v>
      </c>
      <c r="E3" s="20" t="s">
        <v>3</v>
      </c>
      <c r="F3" s="20" t="s">
        <v>4</v>
      </c>
      <c r="G3" s="21" t="s">
        <v>8</v>
      </c>
      <c r="H3" s="21" t="s">
        <v>5</v>
      </c>
      <c r="I3" s="21" t="s">
        <v>6</v>
      </c>
      <c r="J3" s="21" t="s">
        <v>7</v>
      </c>
      <c r="K3" s="21" t="s">
        <v>9</v>
      </c>
      <c r="L3" s="21" t="s">
        <v>10</v>
      </c>
      <c r="M3" s="21" t="s">
        <v>11</v>
      </c>
      <c r="N3" s="21" t="s">
        <v>12</v>
      </c>
      <c r="O3" s="21" t="s">
        <v>13</v>
      </c>
    </row>
    <row r="4" spans="1:15">
      <c r="A4" s="17" t="s">
        <v>18</v>
      </c>
      <c r="B4" s="5"/>
      <c r="C4" s="8" t="str">
        <f>IFERROR(VLOOKUP($B4,商品台帳!$A$4:$N$502,2,FALSE),"")</f>
        <v/>
      </c>
      <c r="D4" s="8" t="str">
        <f>IFERROR(VLOOKUP($B4,商品台帳!$A$4:$N$502,3,FALSE),"")</f>
        <v/>
      </c>
      <c r="E4" s="8" t="str">
        <f>IFERROR(VLOOKUP($B4,商品台帳!$A$4:$N$502,4,FALSE),"")</f>
        <v/>
      </c>
      <c r="F4" s="8" t="str">
        <f>IFERROR(VLOOKUP($B4,商品台帳!$A$4:$N$502,5,FALSE),"")</f>
        <v/>
      </c>
      <c r="G4" s="8" t="str">
        <f>IFERROR(VLOOKUP($B4,商品台帳!$A$4:$N$502,6,FALSE),"")</f>
        <v/>
      </c>
      <c r="H4" s="8" t="str">
        <f>IFERROR(VLOOKUP($B4,商品台帳!$A$4:$N$502,7,FALSE),"")</f>
        <v/>
      </c>
      <c r="I4" s="8" t="str">
        <f>IFERROR(VLOOKUP($B4,商品台帳!$A$4:$N$502,8,FALSE),"")</f>
        <v/>
      </c>
      <c r="J4" s="8" t="str">
        <f>IFERROR(VLOOKUP($B4,商品台帳!$A$4:$N$502,9,FALSE),"")</f>
        <v/>
      </c>
      <c r="K4" s="8" t="str">
        <f>IFERROR(VLOOKUP($B4,商品台帳!$A$4:$N$502,10,FALSE),"")</f>
        <v/>
      </c>
      <c r="L4" s="8" t="str">
        <f>IFERROR(VLOOKUP($B4,商品台帳!$A$4:$N$502,11,FALSE),"")</f>
        <v/>
      </c>
      <c r="M4" s="8" t="str">
        <f>IFERROR(VLOOKUP($B4,商品台帳!$A$4:$N$502,12,FALSE),"")</f>
        <v/>
      </c>
      <c r="N4" s="8" t="str">
        <f>IFERROR(VLOOKUP($B4,商品台帳!$A$4:$N$502,13,FALSE),"")</f>
        <v/>
      </c>
      <c r="O4" s="8" t="str">
        <f>IFERROR(VLOOKUP($B4,商品台帳!$A$4:$N$502,14,FALSE),"")</f>
        <v/>
      </c>
    </row>
    <row r="5" spans="1:15">
      <c r="A5" s="17" t="s">
        <v>19</v>
      </c>
      <c r="B5" s="5"/>
      <c r="C5" s="8" t="str">
        <f>IFERROR(VLOOKUP($B5,商品台帳!$A$4:$N$502,2,FALSE),"")</f>
        <v/>
      </c>
      <c r="D5" s="8" t="str">
        <f>IFERROR(VLOOKUP($B5,商品台帳!$A$4:$N$502,3,FALSE),"")</f>
        <v/>
      </c>
      <c r="E5" s="8" t="str">
        <f>IFERROR(VLOOKUP($B5,商品台帳!$A$4:$N$502,4,FALSE),"")</f>
        <v/>
      </c>
      <c r="F5" s="8" t="str">
        <f>IFERROR(VLOOKUP($B5,商品台帳!$A$4:$N$502,5,FALSE),"")</f>
        <v/>
      </c>
      <c r="G5" s="8" t="str">
        <f>IFERROR(VLOOKUP($B5,商品台帳!$A$4:$N$502,6,FALSE),"")</f>
        <v/>
      </c>
      <c r="H5" s="8" t="str">
        <f>IFERROR(VLOOKUP($B5,商品台帳!$A$4:$N$502,7,FALSE),"")</f>
        <v/>
      </c>
      <c r="I5" s="8" t="str">
        <f>IFERROR(VLOOKUP($B5,商品台帳!$A$4:$N$502,8,FALSE),"")</f>
        <v/>
      </c>
      <c r="J5" s="8" t="str">
        <f>IFERROR(VLOOKUP($B5,商品台帳!$A$4:$N$502,9,FALSE),"")</f>
        <v/>
      </c>
      <c r="K5" s="8" t="str">
        <f>IFERROR(VLOOKUP($B5,商品台帳!$A$4:$N$502,10,FALSE),"")</f>
        <v/>
      </c>
      <c r="L5" s="8" t="str">
        <f>IFERROR(VLOOKUP($B5,商品台帳!$A$4:$N$502,11,FALSE),"")</f>
        <v/>
      </c>
      <c r="M5" s="8" t="str">
        <f>IFERROR(VLOOKUP($B5,商品台帳!$A$4:$N$502,12,FALSE),"")</f>
        <v/>
      </c>
      <c r="N5" s="8" t="str">
        <f>IFERROR(VLOOKUP($B5,商品台帳!$A$4:$N$502,13,FALSE),"")</f>
        <v/>
      </c>
      <c r="O5" s="8" t="str">
        <f>IFERROR(VLOOKUP($B5,商品台帳!$A$4:$N$502,14,FALSE),"")</f>
        <v/>
      </c>
    </row>
    <row r="6" spans="1:15">
      <c r="A6" s="17" t="s">
        <v>20</v>
      </c>
      <c r="B6" s="5"/>
      <c r="C6" s="8" t="str">
        <f>IFERROR(VLOOKUP($B6,商品台帳!$A$4:$N$502,2,FALSE),"")</f>
        <v/>
      </c>
      <c r="D6" s="8" t="str">
        <f>IFERROR(VLOOKUP($B6,商品台帳!$A$4:$N$502,3,FALSE),"")</f>
        <v/>
      </c>
      <c r="E6" s="8" t="str">
        <f>IFERROR(VLOOKUP($B6,商品台帳!$A$4:$N$502,4,FALSE),"")</f>
        <v/>
      </c>
      <c r="F6" s="8" t="str">
        <f>IFERROR(VLOOKUP($B6,商品台帳!$A$4:$N$502,5,FALSE),"")</f>
        <v/>
      </c>
      <c r="G6" s="8" t="str">
        <f>IFERROR(VLOOKUP($B6,商品台帳!$A$4:$N$502,6,FALSE),"")</f>
        <v/>
      </c>
      <c r="H6" s="8" t="str">
        <f>IFERROR(VLOOKUP($B6,商品台帳!$A$4:$N$502,7,FALSE),"")</f>
        <v/>
      </c>
      <c r="I6" s="8" t="str">
        <f>IFERROR(VLOOKUP($B6,商品台帳!$A$4:$N$502,8,FALSE),"")</f>
        <v/>
      </c>
      <c r="J6" s="8" t="str">
        <f>IFERROR(VLOOKUP($B6,商品台帳!$A$4:$N$502,9,FALSE),"")</f>
        <v/>
      </c>
      <c r="K6" s="8" t="str">
        <f>IFERROR(VLOOKUP($B6,商品台帳!$A$4:$N$502,10,FALSE),"")</f>
        <v/>
      </c>
      <c r="L6" s="8" t="str">
        <f>IFERROR(VLOOKUP($B6,商品台帳!$A$4:$N$502,11,FALSE),"")</f>
        <v/>
      </c>
      <c r="M6" s="8" t="str">
        <f>IFERROR(VLOOKUP($B6,商品台帳!$A$4:$N$502,12,FALSE),"")</f>
        <v/>
      </c>
      <c r="N6" s="8" t="str">
        <f>IFERROR(VLOOKUP($B6,商品台帳!$A$4:$N$502,13,FALSE),"")</f>
        <v/>
      </c>
      <c r="O6" s="8" t="str">
        <f>IFERROR(VLOOKUP($B6,商品台帳!$A$4:$N$502,14,FALSE),"")</f>
        <v/>
      </c>
    </row>
    <row r="7" spans="1:15">
      <c r="A7" s="17" t="s">
        <v>21</v>
      </c>
      <c r="B7" s="5"/>
      <c r="C7" s="8" t="str">
        <f>IFERROR(VLOOKUP($B7,商品台帳!$A$4:$N$502,2,FALSE),"")</f>
        <v/>
      </c>
      <c r="D7" s="8" t="str">
        <f>IFERROR(VLOOKUP($B7,商品台帳!$A$4:$N$502,3,FALSE),"")</f>
        <v/>
      </c>
      <c r="E7" s="8" t="str">
        <f>IFERROR(VLOOKUP($B7,商品台帳!$A$4:$N$502,4,FALSE),"")</f>
        <v/>
      </c>
      <c r="F7" s="8" t="str">
        <f>IFERROR(VLOOKUP($B7,商品台帳!$A$4:$N$502,5,FALSE),"")</f>
        <v/>
      </c>
      <c r="G7" s="8" t="str">
        <f>IFERROR(VLOOKUP($B7,商品台帳!$A$4:$N$502,6,FALSE),"")</f>
        <v/>
      </c>
      <c r="H7" s="8" t="str">
        <f>IFERROR(VLOOKUP($B7,商品台帳!$A$4:$N$502,7,FALSE),"")</f>
        <v/>
      </c>
      <c r="I7" s="8" t="str">
        <f>IFERROR(VLOOKUP($B7,商品台帳!$A$4:$N$502,8,FALSE),"")</f>
        <v/>
      </c>
      <c r="J7" s="8" t="str">
        <f>IFERROR(VLOOKUP($B7,商品台帳!$A$4:$N$502,9,FALSE),"")</f>
        <v/>
      </c>
      <c r="K7" s="8" t="str">
        <f>IFERROR(VLOOKUP($B7,商品台帳!$A$4:$N$502,10,FALSE),"")</f>
        <v/>
      </c>
      <c r="L7" s="8" t="str">
        <f>IFERROR(VLOOKUP($B7,商品台帳!$A$4:$N$502,11,FALSE),"")</f>
        <v/>
      </c>
      <c r="M7" s="8" t="str">
        <f>IFERROR(VLOOKUP($B7,商品台帳!$A$4:$N$502,12,FALSE),"")</f>
        <v/>
      </c>
      <c r="N7" s="8" t="str">
        <f>IFERROR(VLOOKUP($B7,商品台帳!$A$4:$N$502,13,FALSE),"")</f>
        <v/>
      </c>
      <c r="O7" s="8" t="str">
        <f>IFERROR(VLOOKUP($B7,商品台帳!$A$4:$N$502,14,FALSE),"")</f>
        <v/>
      </c>
    </row>
    <row r="8" spans="1:15">
      <c r="A8" s="17" t="s">
        <v>22</v>
      </c>
      <c r="B8" s="5"/>
      <c r="C8" s="8" t="str">
        <f>IFERROR(VLOOKUP($B8,商品台帳!$A$4:$N$502,2,FALSE),"")</f>
        <v/>
      </c>
      <c r="D8" s="8" t="str">
        <f>IFERROR(VLOOKUP($B8,商品台帳!$A$4:$N$502,3,FALSE),"")</f>
        <v/>
      </c>
      <c r="E8" s="8" t="str">
        <f>IFERROR(VLOOKUP($B8,商品台帳!$A$4:$N$502,4,FALSE),"")</f>
        <v/>
      </c>
      <c r="F8" s="8" t="str">
        <f>IFERROR(VLOOKUP($B8,商品台帳!$A$4:$N$502,5,FALSE),"")</f>
        <v/>
      </c>
      <c r="G8" s="8" t="str">
        <f>IFERROR(VLOOKUP($B8,商品台帳!$A$4:$N$502,6,FALSE),"")</f>
        <v/>
      </c>
      <c r="H8" s="8" t="str">
        <f>IFERROR(VLOOKUP($B8,商品台帳!$A$4:$N$502,7,FALSE),"")</f>
        <v/>
      </c>
      <c r="I8" s="8" t="str">
        <f>IFERROR(VLOOKUP($B8,商品台帳!$A$4:$N$502,8,FALSE),"")</f>
        <v/>
      </c>
      <c r="J8" s="8" t="str">
        <f>IFERROR(VLOOKUP($B8,商品台帳!$A$4:$N$502,9,FALSE),"")</f>
        <v/>
      </c>
      <c r="K8" s="8" t="str">
        <f>IFERROR(VLOOKUP($B8,商品台帳!$A$4:$N$502,10,FALSE),"")</f>
        <v/>
      </c>
      <c r="L8" s="8" t="str">
        <f>IFERROR(VLOOKUP($B8,商品台帳!$A$4:$N$502,11,FALSE),"")</f>
        <v/>
      </c>
      <c r="M8" s="8" t="str">
        <f>IFERROR(VLOOKUP($B8,商品台帳!$A$4:$N$502,12,FALSE),"")</f>
        <v/>
      </c>
      <c r="N8" s="8" t="str">
        <f>IFERROR(VLOOKUP($B8,商品台帳!$A$4:$N$502,13,FALSE),"")</f>
        <v/>
      </c>
      <c r="O8" s="8" t="str">
        <f>IFERROR(VLOOKUP($B8,商品台帳!$A$4:$N$502,14,FALSE),"")</f>
        <v/>
      </c>
    </row>
    <row r="9" spans="1:15">
      <c r="A9" s="17" t="s">
        <v>23</v>
      </c>
      <c r="B9" s="5"/>
      <c r="C9" s="8" t="str">
        <f>IFERROR(VLOOKUP($B9,商品台帳!$A$4:$N$502,2,FALSE),"")</f>
        <v/>
      </c>
      <c r="D9" s="8" t="str">
        <f>IFERROR(VLOOKUP($B9,商品台帳!$A$4:$N$502,3,FALSE),"")</f>
        <v/>
      </c>
      <c r="E9" s="8" t="str">
        <f>IFERROR(VLOOKUP($B9,商品台帳!$A$4:$N$502,4,FALSE),"")</f>
        <v/>
      </c>
      <c r="F9" s="8" t="str">
        <f>IFERROR(VLOOKUP($B9,商品台帳!$A$4:$N$502,5,FALSE),"")</f>
        <v/>
      </c>
      <c r="G9" s="8" t="str">
        <f>IFERROR(VLOOKUP($B9,商品台帳!$A$4:$N$502,6,FALSE),"")</f>
        <v/>
      </c>
      <c r="H9" s="8" t="str">
        <f>IFERROR(VLOOKUP($B9,商品台帳!$A$4:$N$502,7,FALSE),"")</f>
        <v/>
      </c>
      <c r="I9" s="8" t="str">
        <f>IFERROR(VLOOKUP($B9,商品台帳!$A$4:$N$502,8,FALSE),"")</f>
        <v/>
      </c>
      <c r="J9" s="8" t="str">
        <f>IFERROR(VLOOKUP($B9,商品台帳!$A$4:$N$502,9,FALSE),"")</f>
        <v/>
      </c>
      <c r="K9" s="8" t="str">
        <f>IFERROR(VLOOKUP($B9,商品台帳!$A$4:$N$502,10,FALSE),"")</f>
        <v/>
      </c>
      <c r="L9" s="8" t="str">
        <f>IFERROR(VLOOKUP($B9,商品台帳!$A$4:$N$502,11,FALSE),"")</f>
        <v/>
      </c>
      <c r="M9" s="8" t="str">
        <f>IFERROR(VLOOKUP($B9,商品台帳!$A$4:$N$502,12,FALSE),"")</f>
        <v/>
      </c>
      <c r="N9" s="8" t="str">
        <f>IFERROR(VLOOKUP($B9,商品台帳!$A$4:$N$502,13,FALSE),"")</f>
        <v/>
      </c>
      <c r="O9" s="8" t="str">
        <f>IFERROR(VLOOKUP($B9,商品台帳!$A$4:$N$502,14,FALSE),"")</f>
        <v/>
      </c>
    </row>
    <row r="10" spans="1:15">
      <c r="A10" s="17" t="s">
        <v>24</v>
      </c>
      <c r="B10" s="5"/>
      <c r="C10" s="8" t="str">
        <f>IFERROR(VLOOKUP($B10,商品台帳!$A$4:$N$502,2,FALSE),"")</f>
        <v/>
      </c>
      <c r="D10" s="8" t="str">
        <f>IFERROR(VLOOKUP($B10,商品台帳!$A$4:$N$502,3,FALSE),"")</f>
        <v/>
      </c>
      <c r="E10" s="8" t="str">
        <f>IFERROR(VLOOKUP($B10,商品台帳!$A$4:$N$502,4,FALSE),"")</f>
        <v/>
      </c>
      <c r="F10" s="8" t="str">
        <f>IFERROR(VLOOKUP($B10,商品台帳!$A$4:$N$502,5,FALSE),"")</f>
        <v/>
      </c>
      <c r="G10" s="8" t="str">
        <f>IFERROR(VLOOKUP($B10,商品台帳!$A$4:$N$502,6,FALSE),"")</f>
        <v/>
      </c>
      <c r="H10" s="8" t="str">
        <f>IFERROR(VLOOKUP($B10,商品台帳!$A$4:$N$502,7,FALSE),"")</f>
        <v/>
      </c>
      <c r="I10" s="8" t="str">
        <f>IFERROR(VLOOKUP($B10,商品台帳!$A$4:$N$502,8,FALSE),"")</f>
        <v/>
      </c>
      <c r="J10" s="8" t="str">
        <f>IFERROR(VLOOKUP($B10,商品台帳!$A$4:$N$502,9,FALSE),"")</f>
        <v/>
      </c>
      <c r="K10" s="8" t="str">
        <f>IFERROR(VLOOKUP($B10,商品台帳!$A$4:$N$502,10,FALSE),"")</f>
        <v/>
      </c>
      <c r="L10" s="8" t="str">
        <f>IFERROR(VLOOKUP($B10,商品台帳!$A$4:$N$502,11,FALSE),"")</f>
        <v/>
      </c>
      <c r="M10" s="8" t="str">
        <f>IFERROR(VLOOKUP($B10,商品台帳!$A$4:$N$502,12,FALSE),"")</f>
        <v/>
      </c>
      <c r="N10" s="8" t="str">
        <f>IFERROR(VLOOKUP($B10,商品台帳!$A$4:$N$502,13,FALSE),"")</f>
        <v/>
      </c>
      <c r="O10" s="8" t="str">
        <f>IFERROR(VLOOKUP($B10,商品台帳!$A$4:$N$502,14,FALSE),"")</f>
        <v/>
      </c>
    </row>
    <row r="11" spans="1:15">
      <c r="A11" s="17" t="s">
        <v>25</v>
      </c>
      <c r="B11" s="5"/>
      <c r="C11" s="8" t="str">
        <f>IFERROR(VLOOKUP($B11,商品台帳!$A$4:$N$502,2,FALSE),"")</f>
        <v/>
      </c>
      <c r="D11" s="8" t="str">
        <f>IFERROR(VLOOKUP($B11,商品台帳!$A$4:$N$502,3,FALSE),"")</f>
        <v/>
      </c>
      <c r="E11" s="8" t="str">
        <f>IFERROR(VLOOKUP($B11,商品台帳!$A$4:$N$502,4,FALSE),"")</f>
        <v/>
      </c>
      <c r="F11" s="8" t="str">
        <f>IFERROR(VLOOKUP($B11,商品台帳!$A$4:$N$502,5,FALSE),"")</f>
        <v/>
      </c>
      <c r="G11" s="8" t="str">
        <f>IFERROR(VLOOKUP($B11,商品台帳!$A$4:$N$502,6,FALSE),"")</f>
        <v/>
      </c>
      <c r="H11" s="8" t="str">
        <f>IFERROR(VLOOKUP($B11,商品台帳!$A$4:$N$502,7,FALSE),"")</f>
        <v/>
      </c>
      <c r="I11" s="8" t="str">
        <f>IFERROR(VLOOKUP($B11,商品台帳!$A$4:$N$502,8,FALSE),"")</f>
        <v/>
      </c>
      <c r="J11" s="8" t="str">
        <f>IFERROR(VLOOKUP($B11,商品台帳!$A$4:$N$502,9,FALSE),"")</f>
        <v/>
      </c>
      <c r="K11" s="8" t="str">
        <f>IFERROR(VLOOKUP($B11,商品台帳!$A$4:$N$502,10,FALSE),"")</f>
        <v/>
      </c>
      <c r="L11" s="8" t="str">
        <f>IFERROR(VLOOKUP($B11,商品台帳!$A$4:$N$502,11,FALSE),"")</f>
        <v/>
      </c>
      <c r="M11" s="8" t="str">
        <f>IFERROR(VLOOKUP($B11,商品台帳!$A$4:$N$502,12,FALSE),"")</f>
        <v/>
      </c>
      <c r="N11" s="8" t="str">
        <f>IFERROR(VLOOKUP($B11,商品台帳!$A$4:$N$502,13,FALSE),"")</f>
        <v/>
      </c>
      <c r="O11" s="8" t="str">
        <f>IFERROR(VLOOKUP($B11,商品台帳!$A$4:$N$502,14,FALSE),"")</f>
        <v/>
      </c>
    </row>
    <row r="12" spans="1:15">
      <c r="A12" s="17" t="s">
        <v>26</v>
      </c>
      <c r="B12" s="5"/>
      <c r="C12" s="8" t="str">
        <f>IFERROR(VLOOKUP($B12,商品台帳!$A$4:$N$502,2,FALSE),"")</f>
        <v/>
      </c>
      <c r="D12" s="8" t="str">
        <f>IFERROR(VLOOKUP($B12,商品台帳!$A$4:$N$502,3,FALSE),"")</f>
        <v/>
      </c>
      <c r="E12" s="8" t="str">
        <f>IFERROR(VLOOKUP($B12,商品台帳!$A$4:$N$502,4,FALSE),"")</f>
        <v/>
      </c>
      <c r="F12" s="8" t="str">
        <f>IFERROR(VLOOKUP($B12,商品台帳!$A$4:$N$502,5,FALSE),"")</f>
        <v/>
      </c>
      <c r="G12" s="8" t="str">
        <f>IFERROR(VLOOKUP($B12,商品台帳!$A$4:$N$502,6,FALSE),"")</f>
        <v/>
      </c>
      <c r="H12" s="8" t="str">
        <f>IFERROR(VLOOKUP($B12,商品台帳!$A$4:$N$502,7,FALSE),"")</f>
        <v/>
      </c>
      <c r="I12" s="8" t="str">
        <f>IFERROR(VLOOKUP($B12,商品台帳!$A$4:$N$502,8,FALSE),"")</f>
        <v/>
      </c>
      <c r="J12" s="8" t="str">
        <f>IFERROR(VLOOKUP($B12,商品台帳!$A$4:$N$502,9,FALSE),"")</f>
        <v/>
      </c>
      <c r="K12" s="8" t="str">
        <f>IFERROR(VLOOKUP($B12,商品台帳!$A$4:$N$502,10,FALSE),"")</f>
        <v/>
      </c>
      <c r="L12" s="8" t="str">
        <f>IFERROR(VLOOKUP($B12,商品台帳!$A$4:$N$502,11,FALSE),"")</f>
        <v/>
      </c>
      <c r="M12" s="8" t="str">
        <f>IFERROR(VLOOKUP($B12,商品台帳!$A$4:$N$502,12,FALSE),"")</f>
        <v/>
      </c>
      <c r="N12" s="8" t="str">
        <f>IFERROR(VLOOKUP($B12,商品台帳!$A$4:$N$502,13,FALSE),"")</f>
        <v/>
      </c>
      <c r="O12" s="8" t="str">
        <f>IFERROR(VLOOKUP($B12,商品台帳!$A$4:$N$502,14,FALSE),"")</f>
        <v/>
      </c>
    </row>
    <row r="13" spans="1:15">
      <c r="A13" s="17" t="s">
        <v>27</v>
      </c>
      <c r="B13" s="5"/>
      <c r="C13" s="8" t="str">
        <f>IFERROR(VLOOKUP($B13,商品台帳!$A$4:$N$502,2,FALSE),"")</f>
        <v/>
      </c>
      <c r="D13" s="8" t="str">
        <f>IFERROR(VLOOKUP($B13,商品台帳!$A$4:$N$502,3,FALSE),"")</f>
        <v/>
      </c>
      <c r="E13" s="8" t="str">
        <f>IFERROR(VLOOKUP($B13,商品台帳!$A$4:$N$502,4,FALSE),"")</f>
        <v/>
      </c>
      <c r="F13" s="8" t="str">
        <f>IFERROR(VLOOKUP($B13,商品台帳!$A$4:$N$502,5,FALSE),"")</f>
        <v/>
      </c>
      <c r="G13" s="8" t="str">
        <f>IFERROR(VLOOKUP($B13,商品台帳!$A$4:$N$502,6,FALSE),"")</f>
        <v/>
      </c>
      <c r="H13" s="8" t="str">
        <f>IFERROR(VLOOKUP($B13,商品台帳!$A$4:$N$502,7,FALSE),"")</f>
        <v/>
      </c>
      <c r="I13" s="8" t="str">
        <f>IFERROR(VLOOKUP($B13,商品台帳!$A$4:$N$502,8,FALSE),"")</f>
        <v/>
      </c>
      <c r="J13" s="8" t="str">
        <f>IFERROR(VLOOKUP($B13,商品台帳!$A$4:$N$502,9,FALSE),"")</f>
        <v/>
      </c>
      <c r="K13" s="8" t="str">
        <f>IFERROR(VLOOKUP($B13,商品台帳!$A$4:$N$502,10,FALSE),"")</f>
        <v/>
      </c>
      <c r="L13" s="8" t="str">
        <f>IFERROR(VLOOKUP($B13,商品台帳!$A$4:$N$502,11,FALSE),"")</f>
        <v/>
      </c>
      <c r="M13" s="8" t="str">
        <f>IFERROR(VLOOKUP($B13,商品台帳!$A$4:$N$502,12,FALSE),"")</f>
        <v/>
      </c>
      <c r="N13" s="8" t="str">
        <f>IFERROR(VLOOKUP($B13,商品台帳!$A$4:$N$502,13,FALSE),"")</f>
        <v/>
      </c>
      <c r="O13" s="8" t="str">
        <f>IFERROR(VLOOKUP($B13,商品台帳!$A$4:$N$502,14,FALSE),"")</f>
        <v/>
      </c>
    </row>
    <row r="14" spans="1:15">
      <c r="A14" s="17" t="s">
        <v>28</v>
      </c>
      <c r="B14" s="5"/>
      <c r="C14" s="8" t="str">
        <f>IFERROR(VLOOKUP($B14,商品台帳!$A$4:$N$502,2,FALSE),"")</f>
        <v/>
      </c>
      <c r="D14" s="8" t="str">
        <f>IFERROR(VLOOKUP($B14,商品台帳!$A$4:$N$502,3,FALSE),"")</f>
        <v/>
      </c>
      <c r="E14" s="8" t="str">
        <f>IFERROR(VLOOKUP($B14,商品台帳!$A$4:$N$502,4,FALSE),"")</f>
        <v/>
      </c>
      <c r="F14" s="8" t="str">
        <f>IFERROR(VLOOKUP($B14,商品台帳!$A$4:$N$502,5,FALSE),"")</f>
        <v/>
      </c>
      <c r="G14" s="8" t="str">
        <f>IFERROR(VLOOKUP($B14,商品台帳!$A$4:$N$502,6,FALSE),"")</f>
        <v/>
      </c>
      <c r="H14" s="8" t="str">
        <f>IFERROR(VLOOKUP($B14,商品台帳!$A$4:$N$502,7,FALSE),"")</f>
        <v/>
      </c>
      <c r="I14" s="8" t="str">
        <f>IFERROR(VLOOKUP($B14,商品台帳!$A$4:$N$502,8,FALSE),"")</f>
        <v/>
      </c>
      <c r="J14" s="8" t="str">
        <f>IFERROR(VLOOKUP($B14,商品台帳!$A$4:$N$502,9,FALSE),"")</f>
        <v/>
      </c>
      <c r="K14" s="8" t="str">
        <f>IFERROR(VLOOKUP($B14,商品台帳!$A$4:$N$502,10,FALSE),"")</f>
        <v/>
      </c>
      <c r="L14" s="8" t="str">
        <f>IFERROR(VLOOKUP($B14,商品台帳!$A$4:$N$502,11,FALSE),"")</f>
        <v/>
      </c>
      <c r="M14" s="8" t="str">
        <f>IFERROR(VLOOKUP($B14,商品台帳!$A$4:$N$502,12,FALSE),"")</f>
        <v/>
      </c>
      <c r="N14" s="8" t="str">
        <f>IFERROR(VLOOKUP($B14,商品台帳!$A$4:$N$502,13,FALSE),"")</f>
        <v/>
      </c>
      <c r="O14" s="8" t="str">
        <f>IFERROR(VLOOKUP($B14,商品台帳!$A$4:$N$502,14,FALSE),"")</f>
        <v/>
      </c>
    </row>
    <row r="15" spans="1:15">
      <c r="A15" s="17" t="s">
        <v>29</v>
      </c>
      <c r="B15" s="5"/>
      <c r="C15" s="8" t="str">
        <f>IFERROR(VLOOKUP($B15,商品台帳!$A$4:$N$502,2,FALSE),"")</f>
        <v/>
      </c>
      <c r="D15" s="8" t="str">
        <f>IFERROR(VLOOKUP($B15,商品台帳!$A$4:$N$502,3,FALSE),"")</f>
        <v/>
      </c>
      <c r="E15" s="8" t="str">
        <f>IFERROR(VLOOKUP($B15,商品台帳!$A$4:$N$502,4,FALSE),"")</f>
        <v/>
      </c>
      <c r="F15" s="8" t="str">
        <f>IFERROR(VLOOKUP($B15,商品台帳!$A$4:$N$502,5,FALSE),"")</f>
        <v/>
      </c>
      <c r="G15" s="8" t="str">
        <f>IFERROR(VLOOKUP($B15,商品台帳!$A$4:$N$502,6,FALSE),"")</f>
        <v/>
      </c>
      <c r="H15" s="8" t="str">
        <f>IFERROR(VLOOKUP($B15,商品台帳!$A$4:$N$502,7,FALSE),"")</f>
        <v/>
      </c>
      <c r="I15" s="8" t="str">
        <f>IFERROR(VLOOKUP($B15,商品台帳!$A$4:$N$502,8,FALSE),"")</f>
        <v/>
      </c>
      <c r="J15" s="8" t="str">
        <f>IFERROR(VLOOKUP($B15,商品台帳!$A$4:$N$502,9,FALSE),"")</f>
        <v/>
      </c>
      <c r="K15" s="8" t="str">
        <f>IFERROR(VLOOKUP($B15,商品台帳!$A$4:$N$502,10,FALSE),"")</f>
        <v/>
      </c>
      <c r="L15" s="8" t="str">
        <f>IFERROR(VLOOKUP($B15,商品台帳!$A$4:$N$502,11,FALSE),"")</f>
        <v/>
      </c>
      <c r="M15" s="8" t="str">
        <f>IFERROR(VLOOKUP($B15,商品台帳!$A$4:$N$502,12,FALSE),"")</f>
        <v/>
      </c>
      <c r="N15" s="8" t="str">
        <f>IFERROR(VLOOKUP($B15,商品台帳!$A$4:$N$502,13,FALSE),"")</f>
        <v/>
      </c>
      <c r="O15" s="8" t="str">
        <f>IFERROR(VLOOKUP($B15,商品台帳!$A$4:$N$502,14,FALSE),"")</f>
        <v/>
      </c>
    </row>
    <row r="16" spans="1:15">
      <c r="A16" s="17" t="s">
        <v>30</v>
      </c>
      <c r="B16" s="5"/>
      <c r="C16" s="8" t="str">
        <f>IFERROR(VLOOKUP($B16,商品台帳!$A$4:$N$502,2,FALSE),"")</f>
        <v/>
      </c>
      <c r="D16" s="8" t="str">
        <f>IFERROR(VLOOKUP($B16,商品台帳!$A$4:$N$502,3,FALSE),"")</f>
        <v/>
      </c>
      <c r="E16" s="8" t="str">
        <f>IFERROR(VLOOKUP($B16,商品台帳!$A$4:$N$502,4,FALSE),"")</f>
        <v/>
      </c>
      <c r="F16" s="8" t="str">
        <f>IFERROR(VLOOKUP($B16,商品台帳!$A$4:$N$502,5,FALSE),"")</f>
        <v/>
      </c>
      <c r="G16" s="8" t="str">
        <f>IFERROR(VLOOKUP($B16,商品台帳!$A$4:$N$502,6,FALSE),"")</f>
        <v/>
      </c>
      <c r="H16" s="8" t="str">
        <f>IFERROR(VLOOKUP($B16,商品台帳!$A$4:$N$502,7,FALSE),"")</f>
        <v/>
      </c>
      <c r="I16" s="8" t="str">
        <f>IFERROR(VLOOKUP($B16,商品台帳!$A$4:$N$502,8,FALSE),"")</f>
        <v/>
      </c>
      <c r="J16" s="8" t="str">
        <f>IFERROR(VLOOKUP($B16,商品台帳!$A$4:$N$502,9,FALSE),"")</f>
        <v/>
      </c>
      <c r="K16" s="8" t="str">
        <f>IFERROR(VLOOKUP($B16,商品台帳!$A$4:$N$502,10,FALSE),"")</f>
        <v/>
      </c>
      <c r="L16" s="8" t="str">
        <f>IFERROR(VLOOKUP($B16,商品台帳!$A$4:$N$502,11,FALSE),"")</f>
        <v/>
      </c>
      <c r="M16" s="8" t="str">
        <f>IFERROR(VLOOKUP($B16,商品台帳!$A$4:$N$502,12,FALSE),"")</f>
        <v/>
      </c>
      <c r="N16" s="8" t="str">
        <f>IFERROR(VLOOKUP($B16,商品台帳!$A$4:$N$502,13,FALSE),"")</f>
        <v/>
      </c>
      <c r="O16" s="8" t="str">
        <f>IFERROR(VLOOKUP($B16,商品台帳!$A$4:$N$502,14,FALSE),"")</f>
        <v/>
      </c>
    </row>
    <row r="17" spans="1:15">
      <c r="A17" s="17" t="s">
        <v>31</v>
      </c>
      <c r="B17" s="5"/>
      <c r="C17" s="8" t="str">
        <f>IFERROR(VLOOKUP($B17,商品台帳!$A$4:$N$502,2,FALSE),"")</f>
        <v/>
      </c>
      <c r="D17" s="8" t="str">
        <f>IFERROR(VLOOKUP($B17,商品台帳!$A$4:$N$502,3,FALSE),"")</f>
        <v/>
      </c>
      <c r="E17" s="8" t="str">
        <f>IFERROR(VLOOKUP($B17,商品台帳!$A$4:$N$502,4,FALSE),"")</f>
        <v/>
      </c>
      <c r="F17" s="8" t="str">
        <f>IFERROR(VLOOKUP($B17,商品台帳!$A$4:$N$502,5,FALSE),"")</f>
        <v/>
      </c>
      <c r="G17" s="8" t="str">
        <f>IFERROR(VLOOKUP($B17,商品台帳!$A$4:$N$502,6,FALSE),"")</f>
        <v/>
      </c>
      <c r="H17" s="8" t="str">
        <f>IFERROR(VLOOKUP($B17,商品台帳!$A$4:$N$502,7,FALSE),"")</f>
        <v/>
      </c>
      <c r="I17" s="8" t="str">
        <f>IFERROR(VLOOKUP($B17,商品台帳!$A$4:$N$502,8,FALSE),"")</f>
        <v/>
      </c>
      <c r="J17" s="8" t="str">
        <f>IFERROR(VLOOKUP($B17,商品台帳!$A$4:$N$502,9,FALSE),"")</f>
        <v/>
      </c>
      <c r="K17" s="8" t="str">
        <f>IFERROR(VLOOKUP($B17,商品台帳!$A$4:$N$502,10,FALSE),"")</f>
        <v/>
      </c>
      <c r="L17" s="8" t="str">
        <f>IFERROR(VLOOKUP($B17,商品台帳!$A$4:$N$502,11,FALSE),"")</f>
        <v/>
      </c>
      <c r="M17" s="8" t="str">
        <f>IFERROR(VLOOKUP($B17,商品台帳!$A$4:$N$502,12,FALSE),"")</f>
        <v/>
      </c>
      <c r="N17" s="8" t="str">
        <f>IFERROR(VLOOKUP($B17,商品台帳!$A$4:$N$502,13,FALSE),"")</f>
        <v/>
      </c>
      <c r="O17" s="8" t="str">
        <f>IFERROR(VLOOKUP($B17,商品台帳!$A$4:$N$502,14,FALSE),"")</f>
        <v/>
      </c>
    </row>
    <row r="18" spans="1:15">
      <c r="A18" s="17" t="s">
        <v>32</v>
      </c>
      <c r="B18" s="5"/>
      <c r="C18" s="8" t="str">
        <f>IFERROR(VLOOKUP($B18,商品台帳!$A$4:$N$502,2,FALSE),"")</f>
        <v/>
      </c>
      <c r="D18" s="8" t="str">
        <f>IFERROR(VLOOKUP($B18,商品台帳!$A$4:$N$502,3,FALSE),"")</f>
        <v/>
      </c>
      <c r="E18" s="8" t="str">
        <f>IFERROR(VLOOKUP($B18,商品台帳!$A$4:$N$502,4,FALSE),"")</f>
        <v/>
      </c>
      <c r="F18" s="8" t="str">
        <f>IFERROR(VLOOKUP($B18,商品台帳!$A$4:$N$502,5,FALSE),"")</f>
        <v/>
      </c>
      <c r="G18" s="8" t="str">
        <f>IFERROR(VLOOKUP($B18,商品台帳!$A$4:$N$502,6,FALSE),"")</f>
        <v/>
      </c>
      <c r="H18" s="8" t="str">
        <f>IFERROR(VLOOKUP($B18,商品台帳!$A$4:$N$502,7,FALSE),"")</f>
        <v/>
      </c>
      <c r="I18" s="8" t="str">
        <f>IFERROR(VLOOKUP($B18,商品台帳!$A$4:$N$502,8,FALSE),"")</f>
        <v/>
      </c>
      <c r="J18" s="8" t="str">
        <f>IFERROR(VLOOKUP($B18,商品台帳!$A$4:$N$502,9,FALSE),"")</f>
        <v/>
      </c>
      <c r="K18" s="8" t="str">
        <f>IFERROR(VLOOKUP($B18,商品台帳!$A$4:$N$502,10,FALSE),"")</f>
        <v/>
      </c>
      <c r="L18" s="8" t="str">
        <f>IFERROR(VLOOKUP($B18,商品台帳!$A$4:$N$502,11,FALSE),"")</f>
        <v/>
      </c>
      <c r="M18" s="8" t="str">
        <f>IFERROR(VLOOKUP($B18,商品台帳!$A$4:$N$502,12,FALSE),"")</f>
        <v/>
      </c>
      <c r="N18" s="8" t="str">
        <f>IFERROR(VLOOKUP($B18,商品台帳!$A$4:$N$502,13,FALSE),"")</f>
        <v/>
      </c>
      <c r="O18" s="8" t="str">
        <f>IFERROR(VLOOKUP($B18,商品台帳!$A$4:$N$502,14,FALSE),"")</f>
        <v/>
      </c>
    </row>
    <row r="19" spans="1:15">
      <c r="A19" s="17" t="s">
        <v>33</v>
      </c>
      <c r="B19" s="5"/>
      <c r="C19" s="8" t="str">
        <f>IFERROR(VLOOKUP($B19,商品台帳!$A$4:$N$502,2,FALSE),"")</f>
        <v/>
      </c>
      <c r="D19" s="8" t="str">
        <f>IFERROR(VLOOKUP($B19,商品台帳!$A$4:$N$502,3,FALSE),"")</f>
        <v/>
      </c>
      <c r="E19" s="8" t="str">
        <f>IFERROR(VLOOKUP($B19,商品台帳!$A$4:$N$502,4,FALSE),"")</f>
        <v/>
      </c>
      <c r="F19" s="8" t="str">
        <f>IFERROR(VLOOKUP($B19,商品台帳!$A$4:$N$502,5,FALSE),"")</f>
        <v/>
      </c>
      <c r="G19" s="8" t="str">
        <f>IFERROR(VLOOKUP($B19,商品台帳!$A$4:$N$502,6,FALSE),"")</f>
        <v/>
      </c>
      <c r="H19" s="8" t="str">
        <f>IFERROR(VLOOKUP($B19,商品台帳!$A$4:$N$502,7,FALSE),"")</f>
        <v/>
      </c>
      <c r="I19" s="8" t="str">
        <f>IFERROR(VLOOKUP($B19,商品台帳!$A$4:$N$502,8,FALSE),"")</f>
        <v/>
      </c>
      <c r="J19" s="8" t="str">
        <f>IFERROR(VLOOKUP($B19,商品台帳!$A$4:$N$502,9,FALSE),"")</f>
        <v/>
      </c>
      <c r="K19" s="8" t="str">
        <f>IFERROR(VLOOKUP($B19,商品台帳!$A$4:$N$502,10,FALSE),"")</f>
        <v/>
      </c>
      <c r="L19" s="8" t="str">
        <f>IFERROR(VLOOKUP($B19,商品台帳!$A$4:$N$502,11,FALSE),"")</f>
        <v/>
      </c>
      <c r="M19" s="8" t="str">
        <f>IFERROR(VLOOKUP($B19,商品台帳!$A$4:$N$502,12,FALSE),"")</f>
        <v/>
      </c>
      <c r="N19" s="8" t="str">
        <f>IFERROR(VLOOKUP($B19,商品台帳!$A$4:$N$502,13,FALSE),"")</f>
        <v/>
      </c>
      <c r="O19" s="8" t="str">
        <f>IFERROR(VLOOKUP($B19,商品台帳!$A$4:$N$502,14,FALSE),"")</f>
        <v/>
      </c>
    </row>
    <row r="20" spans="1:15">
      <c r="A20" s="17" t="s">
        <v>34</v>
      </c>
      <c r="B20" s="5"/>
      <c r="C20" s="8" t="str">
        <f>IFERROR(VLOOKUP($B20,商品台帳!$A$4:$N$502,2,FALSE),"")</f>
        <v/>
      </c>
      <c r="D20" s="8" t="str">
        <f>IFERROR(VLOOKUP($B20,商品台帳!$A$4:$N$502,3,FALSE),"")</f>
        <v/>
      </c>
      <c r="E20" s="8" t="str">
        <f>IFERROR(VLOOKUP($B20,商品台帳!$A$4:$N$502,4,FALSE),"")</f>
        <v/>
      </c>
      <c r="F20" s="8" t="str">
        <f>IFERROR(VLOOKUP($B20,商品台帳!$A$4:$N$502,5,FALSE),"")</f>
        <v/>
      </c>
      <c r="G20" s="8" t="str">
        <f>IFERROR(VLOOKUP($B20,商品台帳!$A$4:$N$502,6,FALSE),"")</f>
        <v/>
      </c>
      <c r="H20" s="8" t="str">
        <f>IFERROR(VLOOKUP($B20,商品台帳!$A$4:$N$502,7,FALSE),"")</f>
        <v/>
      </c>
      <c r="I20" s="8" t="str">
        <f>IFERROR(VLOOKUP($B20,商品台帳!$A$4:$N$502,8,FALSE),"")</f>
        <v/>
      </c>
      <c r="J20" s="8" t="str">
        <f>IFERROR(VLOOKUP($B20,商品台帳!$A$4:$N$502,9,FALSE),"")</f>
        <v/>
      </c>
      <c r="K20" s="8" t="str">
        <f>IFERROR(VLOOKUP($B20,商品台帳!$A$4:$N$502,10,FALSE),"")</f>
        <v/>
      </c>
      <c r="L20" s="8" t="str">
        <f>IFERROR(VLOOKUP($B20,商品台帳!$A$4:$N$502,11,FALSE),"")</f>
        <v/>
      </c>
      <c r="M20" s="8" t="str">
        <f>IFERROR(VLOOKUP($B20,商品台帳!$A$4:$N$502,12,FALSE),"")</f>
        <v/>
      </c>
      <c r="N20" s="8" t="str">
        <f>IFERROR(VLOOKUP($B20,商品台帳!$A$4:$N$502,13,FALSE),"")</f>
        <v/>
      </c>
      <c r="O20" s="8" t="str">
        <f>IFERROR(VLOOKUP($B20,商品台帳!$A$4:$N$502,14,FALSE),"")</f>
        <v/>
      </c>
    </row>
    <row r="21" spans="1:15">
      <c r="A21" s="17" t="s">
        <v>35</v>
      </c>
      <c r="B21" s="5"/>
      <c r="C21" s="8" t="str">
        <f>IFERROR(VLOOKUP($B21,商品台帳!$A$4:$N$502,2,FALSE),"")</f>
        <v/>
      </c>
      <c r="D21" s="8" t="str">
        <f>IFERROR(VLOOKUP($B21,商品台帳!$A$4:$N$502,3,FALSE),"")</f>
        <v/>
      </c>
      <c r="E21" s="8" t="str">
        <f>IFERROR(VLOOKUP($B21,商品台帳!$A$4:$N$502,4,FALSE),"")</f>
        <v/>
      </c>
      <c r="F21" s="8" t="str">
        <f>IFERROR(VLOOKUP($B21,商品台帳!$A$4:$N$502,5,FALSE),"")</f>
        <v/>
      </c>
      <c r="G21" s="8" t="str">
        <f>IFERROR(VLOOKUP($B21,商品台帳!$A$4:$N$502,6,FALSE),"")</f>
        <v/>
      </c>
      <c r="H21" s="8" t="str">
        <f>IFERROR(VLOOKUP($B21,商品台帳!$A$4:$N$502,7,FALSE),"")</f>
        <v/>
      </c>
      <c r="I21" s="8" t="str">
        <f>IFERROR(VLOOKUP($B21,商品台帳!$A$4:$N$502,8,FALSE),"")</f>
        <v/>
      </c>
      <c r="J21" s="8" t="str">
        <f>IFERROR(VLOOKUP($B21,商品台帳!$A$4:$N$502,9,FALSE),"")</f>
        <v/>
      </c>
      <c r="K21" s="8" t="str">
        <f>IFERROR(VLOOKUP($B21,商品台帳!$A$4:$N$502,10,FALSE),"")</f>
        <v/>
      </c>
      <c r="L21" s="8" t="str">
        <f>IFERROR(VLOOKUP($B21,商品台帳!$A$4:$N$502,11,FALSE),"")</f>
        <v/>
      </c>
      <c r="M21" s="8" t="str">
        <f>IFERROR(VLOOKUP($B21,商品台帳!$A$4:$N$502,12,FALSE),"")</f>
        <v/>
      </c>
      <c r="N21" s="8" t="str">
        <f>IFERROR(VLOOKUP($B21,商品台帳!$A$4:$N$502,13,FALSE),"")</f>
        <v/>
      </c>
      <c r="O21" s="8" t="str">
        <f>IFERROR(VLOOKUP($B21,商品台帳!$A$4:$N$502,14,FALSE),"")</f>
        <v/>
      </c>
    </row>
    <row r="22" spans="1:15">
      <c r="A22" s="17" t="s">
        <v>36</v>
      </c>
      <c r="B22" s="5"/>
      <c r="C22" s="8" t="str">
        <f>IFERROR(VLOOKUP($B22,商品台帳!$A$4:$N$502,2,FALSE),"")</f>
        <v/>
      </c>
      <c r="D22" s="8" t="str">
        <f>IFERROR(VLOOKUP($B22,商品台帳!$A$4:$N$502,3,FALSE),"")</f>
        <v/>
      </c>
      <c r="E22" s="8" t="str">
        <f>IFERROR(VLOOKUP($B22,商品台帳!$A$4:$N$502,4,FALSE),"")</f>
        <v/>
      </c>
      <c r="F22" s="8" t="str">
        <f>IFERROR(VLOOKUP($B22,商品台帳!$A$4:$N$502,5,FALSE),"")</f>
        <v/>
      </c>
      <c r="G22" s="8" t="str">
        <f>IFERROR(VLOOKUP($B22,商品台帳!$A$4:$N$502,6,FALSE),"")</f>
        <v/>
      </c>
      <c r="H22" s="8" t="str">
        <f>IFERROR(VLOOKUP($B22,商品台帳!$A$4:$N$502,7,FALSE),"")</f>
        <v/>
      </c>
      <c r="I22" s="8" t="str">
        <f>IFERROR(VLOOKUP($B22,商品台帳!$A$4:$N$502,8,FALSE),"")</f>
        <v/>
      </c>
      <c r="J22" s="8" t="str">
        <f>IFERROR(VLOOKUP($B22,商品台帳!$A$4:$N$502,9,FALSE),"")</f>
        <v/>
      </c>
      <c r="K22" s="8" t="str">
        <f>IFERROR(VLOOKUP($B22,商品台帳!$A$4:$N$502,10,FALSE),"")</f>
        <v/>
      </c>
      <c r="L22" s="8" t="str">
        <f>IFERROR(VLOOKUP($B22,商品台帳!$A$4:$N$502,11,FALSE),"")</f>
        <v/>
      </c>
      <c r="M22" s="8" t="str">
        <f>IFERROR(VLOOKUP($B22,商品台帳!$A$4:$N$502,12,FALSE),"")</f>
        <v/>
      </c>
      <c r="N22" s="8" t="str">
        <f>IFERROR(VLOOKUP($B22,商品台帳!$A$4:$N$502,13,FALSE),"")</f>
        <v/>
      </c>
      <c r="O22" s="8" t="str">
        <f>IFERROR(VLOOKUP($B22,商品台帳!$A$4:$N$502,14,FALSE),"")</f>
        <v/>
      </c>
    </row>
    <row r="23" spans="1:15">
      <c r="A23" s="17" t="s">
        <v>37</v>
      </c>
      <c r="B23" s="5"/>
      <c r="C23" s="8" t="str">
        <f>IFERROR(VLOOKUP($B23,商品台帳!$A$4:$N$502,2,FALSE),"")</f>
        <v/>
      </c>
      <c r="D23" s="8" t="str">
        <f>IFERROR(VLOOKUP($B23,商品台帳!$A$4:$N$502,3,FALSE),"")</f>
        <v/>
      </c>
      <c r="E23" s="8" t="str">
        <f>IFERROR(VLOOKUP($B23,商品台帳!$A$4:$N$502,4,FALSE),"")</f>
        <v/>
      </c>
      <c r="F23" s="8" t="str">
        <f>IFERROR(VLOOKUP($B23,商品台帳!$A$4:$N$502,5,FALSE),"")</f>
        <v/>
      </c>
      <c r="G23" s="8" t="str">
        <f>IFERROR(VLOOKUP($B23,商品台帳!$A$4:$N$502,6,FALSE),"")</f>
        <v/>
      </c>
      <c r="H23" s="8" t="str">
        <f>IFERROR(VLOOKUP($B23,商品台帳!$A$4:$N$502,7,FALSE),"")</f>
        <v/>
      </c>
      <c r="I23" s="8" t="str">
        <f>IFERROR(VLOOKUP($B23,商品台帳!$A$4:$N$502,8,FALSE),"")</f>
        <v/>
      </c>
      <c r="J23" s="8" t="str">
        <f>IFERROR(VLOOKUP($B23,商品台帳!$A$4:$N$502,9,FALSE),"")</f>
        <v/>
      </c>
      <c r="K23" s="8" t="str">
        <f>IFERROR(VLOOKUP($B23,商品台帳!$A$4:$N$502,10,FALSE),"")</f>
        <v/>
      </c>
      <c r="L23" s="8" t="str">
        <f>IFERROR(VLOOKUP($B23,商品台帳!$A$4:$N$502,11,FALSE),"")</f>
        <v/>
      </c>
      <c r="M23" s="8" t="str">
        <f>IFERROR(VLOOKUP($B23,商品台帳!$A$4:$N$502,12,FALSE),"")</f>
        <v/>
      </c>
      <c r="N23" s="8" t="str">
        <f>IFERROR(VLOOKUP($B23,商品台帳!$A$4:$N$502,13,FALSE),"")</f>
        <v/>
      </c>
      <c r="O23" s="8" t="str">
        <f>IFERROR(VLOOKUP($B23,商品台帳!$A$4:$N$502,14,FALSE),"")</f>
        <v/>
      </c>
    </row>
    <row r="24" spans="1:15">
      <c r="A24" s="17" t="s">
        <v>38</v>
      </c>
      <c r="B24" s="5"/>
      <c r="C24" s="8" t="str">
        <f>IFERROR(VLOOKUP($B24,商品台帳!$A$4:$N$502,2,FALSE),"")</f>
        <v/>
      </c>
      <c r="D24" s="8" t="str">
        <f>IFERROR(VLOOKUP($B24,商品台帳!$A$4:$N$502,3,FALSE),"")</f>
        <v/>
      </c>
      <c r="E24" s="8" t="str">
        <f>IFERROR(VLOOKUP($B24,商品台帳!$A$4:$N$502,4,FALSE),"")</f>
        <v/>
      </c>
      <c r="F24" s="8" t="str">
        <f>IFERROR(VLOOKUP($B24,商品台帳!$A$4:$N$502,5,FALSE),"")</f>
        <v/>
      </c>
      <c r="G24" s="8" t="str">
        <f>IFERROR(VLOOKUP($B24,商品台帳!$A$4:$N$502,6,FALSE),"")</f>
        <v/>
      </c>
      <c r="H24" s="8" t="str">
        <f>IFERROR(VLOOKUP($B24,商品台帳!$A$4:$N$502,7,FALSE),"")</f>
        <v/>
      </c>
      <c r="I24" s="8" t="str">
        <f>IFERROR(VLOOKUP($B24,商品台帳!$A$4:$N$502,8,FALSE),"")</f>
        <v/>
      </c>
      <c r="J24" s="8" t="str">
        <f>IFERROR(VLOOKUP($B24,商品台帳!$A$4:$N$502,9,FALSE),"")</f>
        <v/>
      </c>
      <c r="K24" s="8" t="str">
        <f>IFERROR(VLOOKUP($B24,商品台帳!$A$4:$N$502,10,FALSE),"")</f>
        <v/>
      </c>
      <c r="L24" s="8" t="str">
        <f>IFERROR(VLOOKUP($B24,商品台帳!$A$4:$N$502,11,FALSE),"")</f>
        <v/>
      </c>
      <c r="M24" s="8" t="str">
        <f>IFERROR(VLOOKUP($B24,商品台帳!$A$4:$N$502,12,FALSE),"")</f>
        <v/>
      </c>
      <c r="N24" s="8" t="str">
        <f>IFERROR(VLOOKUP($B24,商品台帳!$A$4:$N$502,13,FALSE),"")</f>
        <v/>
      </c>
      <c r="O24" s="8" t="str">
        <f>IFERROR(VLOOKUP($B24,商品台帳!$A$4:$N$502,14,FALSE),"")</f>
        <v/>
      </c>
    </row>
    <row r="25" spans="1:15">
      <c r="A25" s="17" t="s">
        <v>39</v>
      </c>
      <c r="B25" s="5"/>
      <c r="C25" s="8" t="str">
        <f>IFERROR(VLOOKUP($B25,商品台帳!$A$4:$N$502,2,FALSE),"")</f>
        <v/>
      </c>
      <c r="D25" s="8" t="str">
        <f>IFERROR(VLOOKUP($B25,商品台帳!$A$4:$N$502,3,FALSE),"")</f>
        <v/>
      </c>
      <c r="E25" s="8" t="str">
        <f>IFERROR(VLOOKUP($B25,商品台帳!$A$4:$N$502,4,FALSE),"")</f>
        <v/>
      </c>
      <c r="F25" s="8" t="str">
        <f>IFERROR(VLOOKUP($B25,商品台帳!$A$4:$N$502,5,FALSE),"")</f>
        <v/>
      </c>
      <c r="G25" s="8" t="str">
        <f>IFERROR(VLOOKUP($B25,商品台帳!$A$4:$N$502,6,FALSE),"")</f>
        <v/>
      </c>
      <c r="H25" s="8" t="str">
        <f>IFERROR(VLOOKUP($B25,商品台帳!$A$4:$N$502,7,FALSE),"")</f>
        <v/>
      </c>
      <c r="I25" s="8" t="str">
        <f>IFERROR(VLOOKUP($B25,商品台帳!$A$4:$N$502,8,FALSE),"")</f>
        <v/>
      </c>
      <c r="J25" s="8" t="str">
        <f>IFERROR(VLOOKUP($B25,商品台帳!$A$4:$N$502,9,FALSE),"")</f>
        <v/>
      </c>
      <c r="K25" s="8" t="str">
        <f>IFERROR(VLOOKUP($B25,商品台帳!$A$4:$N$502,10,FALSE),"")</f>
        <v/>
      </c>
      <c r="L25" s="8" t="str">
        <f>IFERROR(VLOOKUP($B25,商品台帳!$A$4:$N$502,11,FALSE),"")</f>
        <v/>
      </c>
      <c r="M25" s="8" t="str">
        <f>IFERROR(VLOOKUP($B25,商品台帳!$A$4:$N$502,12,FALSE),"")</f>
        <v/>
      </c>
      <c r="N25" s="8" t="str">
        <f>IFERROR(VLOOKUP($B25,商品台帳!$A$4:$N$502,13,FALSE),"")</f>
        <v/>
      </c>
      <c r="O25" s="8" t="str">
        <f>IFERROR(VLOOKUP($B25,商品台帳!$A$4:$N$502,14,FALSE),"")</f>
        <v/>
      </c>
    </row>
    <row r="26" spans="1:15">
      <c r="A26" s="17" t="s">
        <v>40</v>
      </c>
      <c r="B26" s="5"/>
      <c r="C26" s="8" t="str">
        <f>IFERROR(VLOOKUP($B26,商品台帳!$A$4:$N$502,2,FALSE),"")</f>
        <v/>
      </c>
      <c r="D26" s="8" t="str">
        <f>IFERROR(VLOOKUP($B26,商品台帳!$A$4:$N$502,3,FALSE),"")</f>
        <v/>
      </c>
      <c r="E26" s="8" t="str">
        <f>IFERROR(VLOOKUP($B26,商品台帳!$A$4:$N$502,4,FALSE),"")</f>
        <v/>
      </c>
      <c r="F26" s="8" t="str">
        <f>IFERROR(VLOOKUP($B26,商品台帳!$A$4:$N$502,5,FALSE),"")</f>
        <v/>
      </c>
      <c r="G26" s="8" t="str">
        <f>IFERROR(VLOOKUP($B26,商品台帳!$A$4:$N$502,6,FALSE),"")</f>
        <v/>
      </c>
      <c r="H26" s="8" t="str">
        <f>IFERROR(VLOOKUP($B26,商品台帳!$A$4:$N$502,7,FALSE),"")</f>
        <v/>
      </c>
      <c r="I26" s="8" t="str">
        <f>IFERROR(VLOOKUP($B26,商品台帳!$A$4:$N$502,8,FALSE),"")</f>
        <v/>
      </c>
      <c r="J26" s="8" t="str">
        <f>IFERROR(VLOOKUP($B26,商品台帳!$A$4:$N$502,9,FALSE),"")</f>
        <v/>
      </c>
      <c r="K26" s="8" t="str">
        <f>IFERROR(VLOOKUP($B26,商品台帳!$A$4:$N$502,10,FALSE),"")</f>
        <v/>
      </c>
      <c r="L26" s="8" t="str">
        <f>IFERROR(VLOOKUP($B26,商品台帳!$A$4:$N$502,11,FALSE),"")</f>
        <v/>
      </c>
      <c r="M26" s="8" t="str">
        <f>IFERROR(VLOOKUP($B26,商品台帳!$A$4:$N$502,12,FALSE),"")</f>
        <v/>
      </c>
      <c r="N26" s="8" t="str">
        <f>IFERROR(VLOOKUP($B26,商品台帳!$A$4:$N$502,13,FALSE),"")</f>
        <v/>
      </c>
      <c r="O26" s="8" t="str">
        <f>IFERROR(VLOOKUP($B26,商品台帳!$A$4:$N$502,14,FALSE),"")</f>
        <v/>
      </c>
    </row>
    <row r="27" spans="1:15">
      <c r="A27" s="17" t="s">
        <v>41</v>
      </c>
      <c r="B27" s="5"/>
      <c r="C27" s="8" t="str">
        <f>IFERROR(VLOOKUP($B27,商品台帳!$A$4:$N$502,2,FALSE),"")</f>
        <v/>
      </c>
      <c r="D27" s="8" t="str">
        <f>IFERROR(VLOOKUP($B27,商品台帳!$A$4:$N$502,3,FALSE),"")</f>
        <v/>
      </c>
      <c r="E27" s="8" t="str">
        <f>IFERROR(VLOOKUP($B27,商品台帳!$A$4:$N$502,4,FALSE),"")</f>
        <v/>
      </c>
      <c r="F27" s="8" t="str">
        <f>IFERROR(VLOOKUP($B27,商品台帳!$A$4:$N$502,5,FALSE),"")</f>
        <v/>
      </c>
      <c r="G27" s="8" t="str">
        <f>IFERROR(VLOOKUP($B27,商品台帳!$A$4:$N$502,6,FALSE),"")</f>
        <v/>
      </c>
      <c r="H27" s="8" t="str">
        <f>IFERROR(VLOOKUP($B27,商品台帳!$A$4:$N$502,7,FALSE),"")</f>
        <v/>
      </c>
      <c r="I27" s="8" t="str">
        <f>IFERROR(VLOOKUP($B27,商品台帳!$A$4:$N$502,8,FALSE),"")</f>
        <v/>
      </c>
      <c r="J27" s="8" t="str">
        <f>IFERROR(VLOOKUP($B27,商品台帳!$A$4:$N$502,9,FALSE),"")</f>
        <v/>
      </c>
      <c r="K27" s="8" t="str">
        <f>IFERROR(VLOOKUP($B27,商品台帳!$A$4:$N$502,10,FALSE),"")</f>
        <v/>
      </c>
      <c r="L27" s="8" t="str">
        <f>IFERROR(VLOOKUP($B27,商品台帳!$A$4:$N$502,11,FALSE),"")</f>
        <v/>
      </c>
      <c r="M27" s="8" t="str">
        <f>IFERROR(VLOOKUP($B27,商品台帳!$A$4:$N$502,12,FALSE),"")</f>
        <v/>
      </c>
      <c r="N27" s="8" t="str">
        <f>IFERROR(VLOOKUP($B27,商品台帳!$A$4:$N$502,13,FALSE),"")</f>
        <v/>
      </c>
      <c r="O27" s="8" t="str">
        <f>IFERROR(VLOOKUP($B27,商品台帳!$A$4:$N$502,14,FALSE),"")</f>
        <v/>
      </c>
    </row>
    <row r="28" spans="1:15">
      <c r="A28" s="17" t="s">
        <v>42</v>
      </c>
      <c r="B28" s="5"/>
      <c r="C28" s="8" t="str">
        <f>IFERROR(VLOOKUP($B28,商品台帳!$A$4:$N$502,2,FALSE),"")</f>
        <v/>
      </c>
      <c r="D28" s="8" t="str">
        <f>IFERROR(VLOOKUP($B28,商品台帳!$A$4:$N$502,3,FALSE),"")</f>
        <v/>
      </c>
      <c r="E28" s="8" t="str">
        <f>IFERROR(VLOOKUP($B28,商品台帳!$A$4:$N$502,4,FALSE),"")</f>
        <v/>
      </c>
      <c r="F28" s="8" t="str">
        <f>IFERROR(VLOOKUP($B28,商品台帳!$A$4:$N$502,5,FALSE),"")</f>
        <v/>
      </c>
      <c r="G28" s="8" t="str">
        <f>IFERROR(VLOOKUP($B28,商品台帳!$A$4:$N$502,6,FALSE),"")</f>
        <v/>
      </c>
      <c r="H28" s="8" t="str">
        <f>IFERROR(VLOOKUP($B28,商品台帳!$A$4:$N$502,7,FALSE),"")</f>
        <v/>
      </c>
      <c r="I28" s="8" t="str">
        <f>IFERROR(VLOOKUP($B28,商品台帳!$A$4:$N$502,8,FALSE),"")</f>
        <v/>
      </c>
      <c r="J28" s="8" t="str">
        <f>IFERROR(VLOOKUP($B28,商品台帳!$A$4:$N$502,9,FALSE),"")</f>
        <v/>
      </c>
      <c r="K28" s="8" t="str">
        <f>IFERROR(VLOOKUP($B28,商品台帳!$A$4:$N$502,10,FALSE),"")</f>
        <v/>
      </c>
      <c r="L28" s="8" t="str">
        <f>IFERROR(VLOOKUP($B28,商品台帳!$A$4:$N$502,11,FALSE),"")</f>
        <v/>
      </c>
      <c r="M28" s="8" t="str">
        <f>IFERROR(VLOOKUP($B28,商品台帳!$A$4:$N$502,12,FALSE),"")</f>
        <v/>
      </c>
      <c r="N28" s="8" t="str">
        <f>IFERROR(VLOOKUP($B28,商品台帳!$A$4:$N$502,13,FALSE),"")</f>
        <v/>
      </c>
      <c r="O28" s="8" t="str">
        <f>IFERROR(VLOOKUP($B28,商品台帳!$A$4:$N$502,14,FALSE),"")</f>
        <v/>
      </c>
    </row>
    <row r="29" spans="1:15">
      <c r="A29" s="17" t="s">
        <v>43</v>
      </c>
      <c r="B29" s="5"/>
      <c r="C29" s="8" t="str">
        <f>IFERROR(VLOOKUP($B29,商品台帳!$A$4:$N$502,2,FALSE),"")</f>
        <v/>
      </c>
      <c r="D29" s="8" t="str">
        <f>IFERROR(VLOOKUP($B29,商品台帳!$A$4:$N$502,3,FALSE),"")</f>
        <v/>
      </c>
      <c r="E29" s="8" t="str">
        <f>IFERROR(VLOOKUP($B29,商品台帳!$A$4:$N$502,4,FALSE),"")</f>
        <v/>
      </c>
      <c r="F29" s="8" t="str">
        <f>IFERROR(VLOOKUP($B29,商品台帳!$A$4:$N$502,5,FALSE),"")</f>
        <v/>
      </c>
      <c r="G29" s="8" t="str">
        <f>IFERROR(VLOOKUP($B29,商品台帳!$A$4:$N$502,6,FALSE),"")</f>
        <v/>
      </c>
      <c r="H29" s="8" t="str">
        <f>IFERROR(VLOOKUP($B29,商品台帳!$A$4:$N$502,7,FALSE),"")</f>
        <v/>
      </c>
      <c r="I29" s="8" t="str">
        <f>IFERROR(VLOOKUP($B29,商品台帳!$A$4:$N$502,8,FALSE),"")</f>
        <v/>
      </c>
      <c r="J29" s="8" t="str">
        <f>IFERROR(VLOOKUP($B29,商品台帳!$A$4:$N$502,9,FALSE),"")</f>
        <v/>
      </c>
      <c r="K29" s="8" t="str">
        <f>IFERROR(VLOOKUP($B29,商品台帳!$A$4:$N$502,10,FALSE),"")</f>
        <v/>
      </c>
      <c r="L29" s="8" t="str">
        <f>IFERROR(VLOOKUP($B29,商品台帳!$A$4:$N$502,11,FALSE),"")</f>
        <v/>
      </c>
      <c r="M29" s="8" t="str">
        <f>IFERROR(VLOOKUP($B29,商品台帳!$A$4:$N$502,12,FALSE),"")</f>
        <v/>
      </c>
      <c r="N29" s="8" t="str">
        <f>IFERROR(VLOOKUP($B29,商品台帳!$A$4:$N$502,13,FALSE),"")</f>
        <v/>
      </c>
      <c r="O29" s="8" t="str">
        <f>IFERROR(VLOOKUP($B29,商品台帳!$A$4:$N$502,14,FALSE),"")</f>
        <v/>
      </c>
    </row>
    <row r="30" spans="1:15">
      <c r="A30" s="17" t="s">
        <v>44</v>
      </c>
      <c r="B30" s="5"/>
      <c r="C30" s="8" t="str">
        <f>IFERROR(VLOOKUP($B30,商品台帳!$A$4:$N$502,2,FALSE),"")</f>
        <v/>
      </c>
      <c r="D30" s="8" t="str">
        <f>IFERROR(VLOOKUP($B30,商品台帳!$A$4:$N$502,3,FALSE),"")</f>
        <v/>
      </c>
      <c r="E30" s="8" t="str">
        <f>IFERROR(VLOOKUP($B30,商品台帳!$A$4:$N$502,4,FALSE),"")</f>
        <v/>
      </c>
      <c r="F30" s="8" t="str">
        <f>IFERROR(VLOOKUP($B30,商品台帳!$A$4:$N$502,5,FALSE),"")</f>
        <v/>
      </c>
      <c r="G30" s="8" t="str">
        <f>IFERROR(VLOOKUP($B30,商品台帳!$A$4:$N$502,6,FALSE),"")</f>
        <v/>
      </c>
      <c r="H30" s="8" t="str">
        <f>IFERROR(VLOOKUP($B30,商品台帳!$A$4:$N$502,7,FALSE),"")</f>
        <v/>
      </c>
      <c r="I30" s="8" t="str">
        <f>IFERROR(VLOOKUP($B30,商品台帳!$A$4:$N$502,8,FALSE),"")</f>
        <v/>
      </c>
      <c r="J30" s="8" t="str">
        <f>IFERROR(VLOOKUP($B30,商品台帳!$A$4:$N$502,9,FALSE),"")</f>
        <v/>
      </c>
      <c r="K30" s="8" t="str">
        <f>IFERROR(VLOOKUP($B30,商品台帳!$A$4:$N$502,10,FALSE),"")</f>
        <v/>
      </c>
      <c r="L30" s="8" t="str">
        <f>IFERROR(VLOOKUP($B30,商品台帳!$A$4:$N$502,11,FALSE),"")</f>
        <v/>
      </c>
      <c r="M30" s="8" t="str">
        <f>IFERROR(VLOOKUP($B30,商品台帳!$A$4:$N$502,12,FALSE),"")</f>
        <v/>
      </c>
      <c r="N30" s="8" t="str">
        <f>IFERROR(VLOOKUP($B30,商品台帳!$A$4:$N$502,13,FALSE),"")</f>
        <v/>
      </c>
      <c r="O30" s="8" t="str">
        <f>IFERROR(VLOOKUP($B30,商品台帳!$A$4:$N$502,14,FALSE),"")</f>
        <v/>
      </c>
    </row>
    <row r="31" spans="1:15">
      <c r="A31" s="17" t="s">
        <v>45</v>
      </c>
      <c r="B31" s="5"/>
      <c r="C31" s="8" t="str">
        <f>IFERROR(VLOOKUP($B31,商品台帳!$A$4:$N$502,2,FALSE),"")</f>
        <v/>
      </c>
      <c r="D31" s="8" t="str">
        <f>IFERROR(VLOOKUP($B31,商品台帳!$A$4:$N$502,3,FALSE),"")</f>
        <v/>
      </c>
      <c r="E31" s="8" t="str">
        <f>IFERROR(VLOOKUP($B31,商品台帳!$A$4:$N$502,4,FALSE),"")</f>
        <v/>
      </c>
      <c r="F31" s="8" t="str">
        <f>IFERROR(VLOOKUP($B31,商品台帳!$A$4:$N$502,5,FALSE),"")</f>
        <v/>
      </c>
      <c r="G31" s="8" t="str">
        <f>IFERROR(VLOOKUP($B31,商品台帳!$A$4:$N$502,6,FALSE),"")</f>
        <v/>
      </c>
      <c r="H31" s="8" t="str">
        <f>IFERROR(VLOOKUP($B31,商品台帳!$A$4:$N$502,7,FALSE),"")</f>
        <v/>
      </c>
      <c r="I31" s="8" t="str">
        <f>IFERROR(VLOOKUP($B31,商品台帳!$A$4:$N$502,8,FALSE),"")</f>
        <v/>
      </c>
      <c r="J31" s="8" t="str">
        <f>IFERROR(VLOOKUP($B31,商品台帳!$A$4:$N$502,9,FALSE),"")</f>
        <v/>
      </c>
      <c r="K31" s="8" t="str">
        <f>IFERROR(VLOOKUP($B31,商品台帳!$A$4:$N$502,10,FALSE),"")</f>
        <v/>
      </c>
      <c r="L31" s="8" t="str">
        <f>IFERROR(VLOOKUP($B31,商品台帳!$A$4:$N$502,11,FALSE),"")</f>
        <v/>
      </c>
      <c r="M31" s="8" t="str">
        <f>IFERROR(VLOOKUP($B31,商品台帳!$A$4:$N$502,12,FALSE),"")</f>
        <v/>
      </c>
      <c r="N31" s="8" t="str">
        <f>IFERROR(VLOOKUP($B31,商品台帳!$A$4:$N$502,13,FALSE),"")</f>
        <v/>
      </c>
      <c r="O31" s="8" t="str">
        <f>IFERROR(VLOOKUP($B31,商品台帳!$A$4:$N$502,14,FALSE),"")</f>
        <v/>
      </c>
    </row>
    <row r="32" spans="1:15">
      <c r="A32" s="17" t="s">
        <v>46</v>
      </c>
      <c r="B32" s="5"/>
      <c r="C32" s="8" t="str">
        <f>IFERROR(VLOOKUP($B32,商品台帳!$A$4:$N$502,2,FALSE),"")</f>
        <v/>
      </c>
      <c r="D32" s="8" t="str">
        <f>IFERROR(VLOOKUP($B32,商品台帳!$A$4:$N$502,3,FALSE),"")</f>
        <v/>
      </c>
      <c r="E32" s="8" t="str">
        <f>IFERROR(VLOOKUP($B32,商品台帳!$A$4:$N$502,4,FALSE),"")</f>
        <v/>
      </c>
      <c r="F32" s="8" t="str">
        <f>IFERROR(VLOOKUP($B32,商品台帳!$A$4:$N$502,5,FALSE),"")</f>
        <v/>
      </c>
      <c r="G32" s="8" t="str">
        <f>IFERROR(VLOOKUP($B32,商品台帳!$A$4:$N$502,6,FALSE),"")</f>
        <v/>
      </c>
      <c r="H32" s="8" t="str">
        <f>IFERROR(VLOOKUP($B32,商品台帳!$A$4:$N$502,7,FALSE),"")</f>
        <v/>
      </c>
      <c r="I32" s="8" t="str">
        <f>IFERROR(VLOOKUP($B32,商品台帳!$A$4:$N$502,8,FALSE),"")</f>
        <v/>
      </c>
      <c r="J32" s="8" t="str">
        <f>IFERROR(VLOOKUP($B32,商品台帳!$A$4:$N$502,9,FALSE),"")</f>
        <v/>
      </c>
      <c r="K32" s="8" t="str">
        <f>IFERROR(VLOOKUP($B32,商品台帳!$A$4:$N$502,10,FALSE),"")</f>
        <v/>
      </c>
      <c r="L32" s="8" t="str">
        <f>IFERROR(VLOOKUP($B32,商品台帳!$A$4:$N$502,11,FALSE),"")</f>
        <v/>
      </c>
      <c r="M32" s="8" t="str">
        <f>IFERROR(VLOOKUP($B32,商品台帳!$A$4:$N$502,12,FALSE),"")</f>
        <v/>
      </c>
      <c r="N32" s="8" t="str">
        <f>IFERROR(VLOOKUP($B32,商品台帳!$A$4:$N$502,13,FALSE),"")</f>
        <v/>
      </c>
      <c r="O32" s="8" t="str">
        <f>IFERROR(VLOOKUP($B32,商品台帳!$A$4:$N$502,14,FALSE),"")</f>
        <v/>
      </c>
    </row>
    <row r="33" spans="1:15">
      <c r="A33" s="17" t="s">
        <v>47</v>
      </c>
      <c r="B33" s="5"/>
      <c r="C33" s="8" t="str">
        <f>IFERROR(VLOOKUP($B33,商品台帳!$A$4:$N$502,2,FALSE),"")</f>
        <v/>
      </c>
      <c r="D33" s="8" t="str">
        <f>IFERROR(VLOOKUP($B33,商品台帳!$A$4:$N$502,3,FALSE),"")</f>
        <v/>
      </c>
      <c r="E33" s="8" t="str">
        <f>IFERROR(VLOOKUP($B33,商品台帳!$A$4:$N$502,4,FALSE),"")</f>
        <v/>
      </c>
      <c r="F33" s="8" t="str">
        <f>IFERROR(VLOOKUP($B33,商品台帳!$A$4:$N$502,5,FALSE),"")</f>
        <v/>
      </c>
      <c r="G33" s="8" t="str">
        <f>IFERROR(VLOOKUP($B33,商品台帳!$A$4:$N$502,6,FALSE),"")</f>
        <v/>
      </c>
      <c r="H33" s="8" t="str">
        <f>IFERROR(VLOOKUP($B33,商品台帳!$A$4:$N$502,7,FALSE),"")</f>
        <v/>
      </c>
      <c r="I33" s="8" t="str">
        <f>IFERROR(VLOOKUP($B33,商品台帳!$A$4:$N$502,8,FALSE),"")</f>
        <v/>
      </c>
      <c r="J33" s="8" t="str">
        <f>IFERROR(VLOOKUP($B33,商品台帳!$A$4:$N$502,9,FALSE),"")</f>
        <v/>
      </c>
      <c r="K33" s="8" t="str">
        <f>IFERROR(VLOOKUP($B33,商品台帳!$A$4:$N$502,10,FALSE),"")</f>
        <v/>
      </c>
      <c r="L33" s="8" t="str">
        <f>IFERROR(VLOOKUP($B33,商品台帳!$A$4:$N$502,11,FALSE),"")</f>
        <v/>
      </c>
      <c r="M33" s="8" t="str">
        <f>IFERROR(VLOOKUP($B33,商品台帳!$A$4:$N$502,12,FALSE),"")</f>
        <v/>
      </c>
      <c r="N33" s="8" t="str">
        <f>IFERROR(VLOOKUP($B33,商品台帳!$A$4:$N$502,13,FALSE),"")</f>
        <v/>
      </c>
      <c r="O33" s="8" t="str">
        <f>IFERROR(VLOOKUP($B33,商品台帳!$A$4:$N$502,14,FALSE),"")</f>
        <v/>
      </c>
    </row>
    <row r="34" spans="1:15">
      <c r="A34" s="17" t="s">
        <v>48</v>
      </c>
      <c r="B34" s="5"/>
      <c r="C34" s="8" t="str">
        <f>IFERROR(VLOOKUP($B34,商品台帳!$A$4:$N$502,2,FALSE),"")</f>
        <v/>
      </c>
      <c r="D34" s="8" t="str">
        <f>IFERROR(VLOOKUP($B34,商品台帳!$A$4:$N$502,3,FALSE),"")</f>
        <v/>
      </c>
      <c r="E34" s="8" t="str">
        <f>IFERROR(VLOOKUP($B34,商品台帳!$A$4:$N$502,4,FALSE),"")</f>
        <v/>
      </c>
      <c r="F34" s="8" t="str">
        <f>IFERROR(VLOOKUP($B34,商品台帳!$A$4:$N$502,5,FALSE),"")</f>
        <v/>
      </c>
      <c r="G34" s="8" t="str">
        <f>IFERROR(VLOOKUP($B34,商品台帳!$A$4:$N$502,6,FALSE),"")</f>
        <v/>
      </c>
      <c r="H34" s="8" t="str">
        <f>IFERROR(VLOOKUP($B34,商品台帳!$A$4:$N$502,7,FALSE),"")</f>
        <v/>
      </c>
      <c r="I34" s="8" t="str">
        <f>IFERROR(VLOOKUP($B34,商品台帳!$A$4:$N$502,8,FALSE),"")</f>
        <v/>
      </c>
      <c r="J34" s="8" t="str">
        <f>IFERROR(VLOOKUP($B34,商品台帳!$A$4:$N$502,9,FALSE),"")</f>
        <v/>
      </c>
      <c r="K34" s="8" t="str">
        <f>IFERROR(VLOOKUP($B34,商品台帳!$A$4:$N$502,10,FALSE),"")</f>
        <v/>
      </c>
      <c r="L34" s="8" t="str">
        <f>IFERROR(VLOOKUP($B34,商品台帳!$A$4:$N$502,11,FALSE),"")</f>
        <v/>
      </c>
      <c r="M34" s="8" t="str">
        <f>IFERROR(VLOOKUP($B34,商品台帳!$A$4:$N$502,12,FALSE),"")</f>
        <v/>
      </c>
      <c r="N34" s="8" t="str">
        <f>IFERROR(VLOOKUP($B34,商品台帳!$A$4:$N$502,13,FALSE),"")</f>
        <v/>
      </c>
      <c r="O34" s="8" t="str">
        <f>IFERROR(VLOOKUP($B34,商品台帳!$A$4:$N$502,14,FALSE),"")</f>
        <v/>
      </c>
    </row>
    <row r="35" spans="1:15">
      <c r="A35" s="17" t="s">
        <v>49</v>
      </c>
      <c r="B35" s="5"/>
      <c r="C35" s="8" t="str">
        <f>IFERROR(VLOOKUP($B35,商品台帳!$A$4:$N$502,2,FALSE),"")</f>
        <v/>
      </c>
      <c r="D35" s="8" t="str">
        <f>IFERROR(VLOOKUP($B35,商品台帳!$A$4:$N$502,3,FALSE),"")</f>
        <v/>
      </c>
      <c r="E35" s="8" t="str">
        <f>IFERROR(VLOOKUP($B35,商品台帳!$A$4:$N$502,4,FALSE),"")</f>
        <v/>
      </c>
      <c r="F35" s="8" t="str">
        <f>IFERROR(VLOOKUP($B35,商品台帳!$A$4:$N$502,5,FALSE),"")</f>
        <v/>
      </c>
      <c r="G35" s="8" t="str">
        <f>IFERROR(VLOOKUP($B35,商品台帳!$A$4:$N$502,6,FALSE),"")</f>
        <v/>
      </c>
      <c r="H35" s="8" t="str">
        <f>IFERROR(VLOOKUP($B35,商品台帳!$A$4:$N$502,7,FALSE),"")</f>
        <v/>
      </c>
      <c r="I35" s="8" t="str">
        <f>IFERROR(VLOOKUP($B35,商品台帳!$A$4:$N$502,8,FALSE),"")</f>
        <v/>
      </c>
      <c r="J35" s="8" t="str">
        <f>IFERROR(VLOOKUP($B35,商品台帳!$A$4:$N$502,9,FALSE),"")</f>
        <v/>
      </c>
      <c r="K35" s="8" t="str">
        <f>IFERROR(VLOOKUP($B35,商品台帳!$A$4:$N$502,10,FALSE),"")</f>
        <v/>
      </c>
      <c r="L35" s="8" t="str">
        <f>IFERROR(VLOOKUP($B35,商品台帳!$A$4:$N$502,11,FALSE),"")</f>
        <v/>
      </c>
      <c r="M35" s="8" t="str">
        <f>IFERROR(VLOOKUP($B35,商品台帳!$A$4:$N$502,12,FALSE),"")</f>
        <v/>
      </c>
      <c r="N35" s="8" t="str">
        <f>IFERROR(VLOOKUP($B35,商品台帳!$A$4:$N$502,13,FALSE),"")</f>
        <v/>
      </c>
      <c r="O35" s="8" t="str">
        <f>IFERROR(VLOOKUP($B35,商品台帳!$A$4:$N$502,14,FALSE),"")</f>
        <v/>
      </c>
    </row>
    <row r="36" spans="1:15">
      <c r="A36" s="17" t="s">
        <v>50</v>
      </c>
      <c r="B36" s="5"/>
      <c r="C36" s="8" t="str">
        <f>IFERROR(VLOOKUP($B36,商品台帳!$A$4:$N$502,2,FALSE),"")</f>
        <v/>
      </c>
      <c r="D36" s="8" t="str">
        <f>IFERROR(VLOOKUP($B36,商品台帳!$A$4:$N$502,3,FALSE),"")</f>
        <v/>
      </c>
      <c r="E36" s="8" t="str">
        <f>IFERROR(VLOOKUP($B36,商品台帳!$A$4:$N$502,4,FALSE),"")</f>
        <v/>
      </c>
      <c r="F36" s="8" t="str">
        <f>IFERROR(VLOOKUP($B36,商品台帳!$A$4:$N$502,5,FALSE),"")</f>
        <v/>
      </c>
      <c r="G36" s="8" t="str">
        <f>IFERROR(VLOOKUP($B36,商品台帳!$A$4:$N$502,6,FALSE),"")</f>
        <v/>
      </c>
      <c r="H36" s="8" t="str">
        <f>IFERROR(VLOOKUP($B36,商品台帳!$A$4:$N$502,7,FALSE),"")</f>
        <v/>
      </c>
      <c r="I36" s="8" t="str">
        <f>IFERROR(VLOOKUP($B36,商品台帳!$A$4:$N$502,8,FALSE),"")</f>
        <v/>
      </c>
      <c r="J36" s="8" t="str">
        <f>IFERROR(VLOOKUP($B36,商品台帳!$A$4:$N$502,9,FALSE),"")</f>
        <v/>
      </c>
      <c r="K36" s="8" t="str">
        <f>IFERROR(VLOOKUP($B36,商品台帳!$A$4:$N$502,10,FALSE),"")</f>
        <v/>
      </c>
      <c r="L36" s="8" t="str">
        <f>IFERROR(VLOOKUP($B36,商品台帳!$A$4:$N$502,11,FALSE),"")</f>
        <v/>
      </c>
      <c r="M36" s="8" t="str">
        <f>IFERROR(VLOOKUP($B36,商品台帳!$A$4:$N$502,12,FALSE),"")</f>
        <v/>
      </c>
      <c r="N36" s="8" t="str">
        <f>IFERROR(VLOOKUP($B36,商品台帳!$A$4:$N$502,13,FALSE),"")</f>
        <v/>
      </c>
      <c r="O36" s="8" t="str">
        <f>IFERROR(VLOOKUP($B36,商品台帳!$A$4:$N$502,14,FALSE),"")</f>
        <v/>
      </c>
    </row>
    <row r="37" spans="1:15">
      <c r="A37" s="17" t="s">
        <v>51</v>
      </c>
      <c r="B37" s="5"/>
      <c r="C37" s="8" t="str">
        <f>IFERROR(VLOOKUP($B37,商品台帳!$A$4:$N$502,2,FALSE),"")</f>
        <v/>
      </c>
      <c r="D37" s="8" t="str">
        <f>IFERROR(VLOOKUP($B37,商品台帳!$A$4:$N$502,3,FALSE),"")</f>
        <v/>
      </c>
      <c r="E37" s="8" t="str">
        <f>IFERROR(VLOOKUP($B37,商品台帳!$A$4:$N$502,4,FALSE),"")</f>
        <v/>
      </c>
      <c r="F37" s="8" t="str">
        <f>IFERROR(VLOOKUP($B37,商品台帳!$A$4:$N$502,5,FALSE),"")</f>
        <v/>
      </c>
      <c r="G37" s="8" t="str">
        <f>IFERROR(VLOOKUP($B37,商品台帳!$A$4:$N$502,6,FALSE),"")</f>
        <v/>
      </c>
      <c r="H37" s="8" t="str">
        <f>IFERROR(VLOOKUP($B37,商品台帳!$A$4:$N$502,7,FALSE),"")</f>
        <v/>
      </c>
      <c r="I37" s="8" t="str">
        <f>IFERROR(VLOOKUP($B37,商品台帳!$A$4:$N$502,8,FALSE),"")</f>
        <v/>
      </c>
      <c r="J37" s="8" t="str">
        <f>IFERROR(VLOOKUP($B37,商品台帳!$A$4:$N$502,9,FALSE),"")</f>
        <v/>
      </c>
      <c r="K37" s="8" t="str">
        <f>IFERROR(VLOOKUP($B37,商品台帳!$A$4:$N$502,10,FALSE),"")</f>
        <v/>
      </c>
      <c r="L37" s="8" t="str">
        <f>IFERROR(VLOOKUP($B37,商品台帳!$A$4:$N$502,11,FALSE),"")</f>
        <v/>
      </c>
      <c r="M37" s="8" t="str">
        <f>IFERROR(VLOOKUP($B37,商品台帳!$A$4:$N$502,12,FALSE),"")</f>
        <v/>
      </c>
      <c r="N37" s="8" t="str">
        <f>IFERROR(VLOOKUP($B37,商品台帳!$A$4:$N$502,13,FALSE),"")</f>
        <v/>
      </c>
      <c r="O37" s="8" t="str">
        <f>IFERROR(VLOOKUP($B37,商品台帳!$A$4:$N$502,14,FALSE),"")</f>
        <v/>
      </c>
    </row>
    <row r="38" spans="1:15">
      <c r="A38" s="17" t="s">
        <v>52</v>
      </c>
      <c r="B38" s="5"/>
      <c r="C38" s="8" t="str">
        <f>IFERROR(VLOOKUP($B38,商品台帳!$A$4:$N$502,2,FALSE),"")</f>
        <v/>
      </c>
      <c r="D38" s="8" t="str">
        <f>IFERROR(VLOOKUP($B38,商品台帳!$A$4:$N$502,3,FALSE),"")</f>
        <v/>
      </c>
      <c r="E38" s="8" t="str">
        <f>IFERROR(VLOOKUP($B38,商品台帳!$A$4:$N$502,4,FALSE),"")</f>
        <v/>
      </c>
      <c r="F38" s="8" t="str">
        <f>IFERROR(VLOOKUP($B38,商品台帳!$A$4:$N$502,5,FALSE),"")</f>
        <v/>
      </c>
      <c r="G38" s="8" t="str">
        <f>IFERROR(VLOOKUP($B38,商品台帳!$A$4:$N$502,6,FALSE),"")</f>
        <v/>
      </c>
      <c r="H38" s="8" t="str">
        <f>IFERROR(VLOOKUP($B38,商品台帳!$A$4:$N$502,7,FALSE),"")</f>
        <v/>
      </c>
      <c r="I38" s="8" t="str">
        <f>IFERROR(VLOOKUP($B38,商品台帳!$A$4:$N$502,8,FALSE),"")</f>
        <v/>
      </c>
      <c r="J38" s="8" t="str">
        <f>IFERROR(VLOOKUP($B38,商品台帳!$A$4:$N$502,9,FALSE),"")</f>
        <v/>
      </c>
      <c r="K38" s="8" t="str">
        <f>IFERROR(VLOOKUP($B38,商品台帳!$A$4:$N$502,10,FALSE),"")</f>
        <v/>
      </c>
      <c r="L38" s="8" t="str">
        <f>IFERROR(VLOOKUP($B38,商品台帳!$A$4:$N$502,11,FALSE),"")</f>
        <v/>
      </c>
      <c r="M38" s="8" t="str">
        <f>IFERROR(VLOOKUP($B38,商品台帳!$A$4:$N$502,12,FALSE),"")</f>
        <v/>
      </c>
      <c r="N38" s="8" t="str">
        <f>IFERROR(VLOOKUP($B38,商品台帳!$A$4:$N$502,13,FALSE),"")</f>
        <v/>
      </c>
      <c r="O38" s="8" t="str">
        <f>IFERROR(VLOOKUP($B38,商品台帳!$A$4:$N$502,14,FALSE),"")</f>
        <v/>
      </c>
    </row>
    <row r="39" spans="1:15">
      <c r="A39" s="17" t="s">
        <v>53</v>
      </c>
      <c r="B39" s="5"/>
      <c r="C39" s="8" t="str">
        <f>IFERROR(VLOOKUP($B39,商品台帳!$A$4:$N$502,2,FALSE),"")</f>
        <v/>
      </c>
      <c r="D39" s="8" t="str">
        <f>IFERROR(VLOOKUP($B39,商品台帳!$A$4:$N$502,3,FALSE),"")</f>
        <v/>
      </c>
      <c r="E39" s="8" t="str">
        <f>IFERROR(VLOOKUP($B39,商品台帳!$A$4:$N$502,4,FALSE),"")</f>
        <v/>
      </c>
      <c r="F39" s="8" t="str">
        <f>IFERROR(VLOOKUP($B39,商品台帳!$A$4:$N$502,5,FALSE),"")</f>
        <v/>
      </c>
      <c r="G39" s="8" t="str">
        <f>IFERROR(VLOOKUP($B39,商品台帳!$A$4:$N$502,6,FALSE),"")</f>
        <v/>
      </c>
      <c r="H39" s="8" t="str">
        <f>IFERROR(VLOOKUP($B39,商品台帳!$A$4:$N$502,7,FALSE),"")</f>
        <v/>
      </c>
      <c r="I39" s="8" t="str">
        <f>IFERROR(VLOOKUP($B39,商品台帳!$A$4:$N$502,8,FALSE),"")</f>
        <v/>
      </c>
      <c r="J39" s="8" t="str">
        <f>IFERROR(VLOOKUP($B39,商品台帳!$A$4:$N$502,9,FALSE),"")</f>
        <v/>
      </c>
      <c r="K39" s="8" t="str">
        <f>IFERROR(VLOOKUP($B39,商品台帳!$A$4:$N$502,10,FALSE),"")</f>
        <v/>
      </c>
      <c r="L39" s="8" t="str">
        <f>IFERROR(VLOOKUP($B39,商品台帳!$A$4:$N$502,11,FALSE),"")</f>
        <v/>
      </c>
      <c r="M39" s="8" t="str">
        <f>IFERROR(VLOOKUP($B39,商品台帳!$A$4:$N$502,12,FALSE),"")</f>
        <v/>
      </c>
      <c r="N39" s="8" t="str">
        <f>IFERROR(VLOOKUP($B39,商品台帳!$A$4:$N$502,13,FALSE),"")</f>
        <v/>
      </c>
      <c r="O39" s="8" t="str">
        <f>IFERROR(VLOOKUP($B39,商品台帳!$A$4:$N$502,14,FALSE),"")</f>
        <v/>
      </c>
    </row>
    <row r="40" spans="1:15">
      <c r="A40" s="17" t="s">
        <v>54</v>
      </c>
      <c r="B40" s="5"/>
      <c r="C40" s="8" t="str">
        <f>IFERROR(VLOOKUP($B40,商品台帳!$A$4:$N$502,2,FALSE),"")</f>
        <v/>
      </c>
      <c r="D40" s="8" t="str">
        <f>IFERROR(VLOOKUP($B40,商品台帳!$A$4:$N$502,3,FALSE),"")</f>
        <v/>
      </c>
      <c r="E40" s="8" t="str">
        <f>IFERROR(VLOOKUP($B40,商品台帳!$A$4:$N$502,4,FALSE),"")</f>
        <v/>
      </c>
      <c r="F40" s="8" t="str">
        <f>IFERROR(VLOOKUP($B40,商品台帳!$A$4:$N$502,5,FALSE),"")</f>
        <v/>
      </c>
      <c r="G40" s="8" t="str">
        <f>IFERROR(VLOOKUP($B40,商品台帳!$A$4:$N$502,6,FALSE),"")</f>
        <v/>
      </c>
      <c r="H40" s="8" t="str">
        <f>IFERROR(VLOOKUP($B40,商品台帳!$A$4:$N$502,7,FALSE),"")</f>
        <v/>
      </c>
      <c r="I40" s="8" t="str">
        <f>IFERROR(VLOOKUP($B40,商品台帳!$A$4:$N$502,8,FALSE),"")</f>
        <v/>
      </c>
      <c r="J40" s="8" t="str">
        <f>IFERROR(VLOOKUP($B40,商品台帳!$A$4:$N$502,9,FALSE),"")</f>
        <v/>
      </c>
      <c r="K40" s="8" t="str">
        <f>IFERROR(VLOOKUP($B40,商品台帳!$A$4:$N$502,10,FALSE),"")</f>
        <v/>
      </c>
      <c r="L40" s="8" t="str">
        <f>IFERROR(VLOOKUP($B40,商品台帳!$A$4:$N$502,11,FALSE),"")</f>
        <v/>
      </c>
      <c r="M40" s="8" t="str">
        <f>IFERROR(VLOOKUP($B40,商品台帳!$A$4:$N$502,12,FALSE),"")</f>
        <v/>
      </c>
      <c r="N40" s="8" t="str">
        <f>IFERROR(VLOOKUP($B40,商品台帳!$A$4:$N$502,13,FALSE),"")</f>
        <v/>
      </c>
      <c r="O40" s="8" t="str">
        <f>IFERROR(VLOOKUP($B40,商品台帳!$A$4:$N$502,14,FALSE),"")</f>
        <v/>
      </c>
    </row>
    <row r="41" spans="1:15">
      <c r="A41" s="17" t="s">
        <v>55</v>
      </c>
      <c r="B41" s="5"/>
      <c r="C41" s="8" t="str">
        <f>IFERROR(VLOOKUP($B41,商品台帳!$A$4:$N$502,2,FALSE),"")</f>
        <v/>
      </c>
      <c r="D41" s="8" t="str">
        <f>IFERROR(VLOOKUP($B41,商品台帳!$A$4:$N$502,3,FALSE),"")</f>
        <v/>
      </c>
      <c r="E41" s="8" t="str">
        <f>IFERROR(VLOOKUP($B41,商品台帳!$A$4:$N$502,4,FALSE),"")</f>
        <v/>
      </c>
      <c r="F41" s="8" t="str">
        <f>IFERROR(VLOOKUP($B41,商品台帳!$A$4:$N$502,5,FALSE),"")</f>
        <v/>
      </c>
      <c r="G41" s="8" t="str">
        <f>IFERROR(VLOOKUP($B41,商品台帳!$A$4:$N$502,6,FALSE),"")</f>
        <v/>
      </c>
      <c r="H41" s="8" t="str">
        <f>IFERROR(VLOOKUP($B41,商品台帳!$A$4:$N$502,7,FALSE),"")</f>
        <v/>
      </c>
      <c r="I41" s="8" t="str">
        <f>IFERROR(VLOOKUP($B41,商品台帳!$A$4:$N$502,8,FALSE),"")</f>
        <v/>
      </c>
      <c r="J41" s="8" t="str">
        <f>IFERROR(VLOOKUP($B41,商品台帳!$A$4:$N$502,9,FALSE),"")</f>
        <v/>
      </c>
      <c r="K41" s="8" t="str">
        <f>IFERROR(VLOOKUP($B41,商品台帳!$A$4:$N$502,10,FALSE),"")</f>
        <v/>
      </c>
      <c r="L41" s="8" t="str">
        <f>IFERROR(VLOOKUP($B41,商品台帳!$A$4:$N$502,11,FALSE),"")</f>
        <v/>
      </c>
      <c r="M41" s="8" t="str">
        <f>IFERROR(VLOOKUP($B41,商品台帳!$A$4:$N$502,12,FALSE),"")</f>
        <v/>
      </c>
      <c r="N41" s="8" t="str">
        <f>IFERROR(VLOOKUP($B41,商品台帳!$A$4:$N$502,13,FALSE),"")</f>
        <v/>
      </c>
      <c r="O41" s="8" t="str">
        <f>IFERROR(VLOOKUP($B41,商品台帳!$A$4:$N$502,14,FALSE),"")</f>
        <v/>
      </c>
    </row>
    <row r="42" spans="1:15">
      <c r="A42" s="17" t="s">
        <v>56</v>
      </c>
      <c r="B42" s="5"/>
      <c r="C42" s="8" t="str">
        <f>IFERROR(VLOOKUP($B42,商品台帳!$A$4:$N$502,2,FALSE),"")</f>
        <v/>
      </c>
      <c r="D42" s="8" t="str">
        <f>IFERROR(VLOOKUP($B42,商品台帳!$A$4:$N$502,3,FALSE),"")</f>
        <v/>
      </c>
      <c r="E42" s="8" t="str">
        <f>IFERROR(VLOOKUP($B42,商品台帳!$A$4:$N$502,4,FALSE),"")</f>
        <v/>
      </c>
      <c r="F42" s="8" t="str">
        <f>IFERROR(VLOOKUP($B42,商品台帳!$A$4:$N$502,5,FALSE),"")</f>
        <v/>
      </c>
      <c r="G42" s="8" t="str">
        <f>IFERROR(VLOOKUP($B42,商品台帳!$A$4:$N$502,6,FALSE),"")</f>
        <v/>
      </c>
      <c r="H42" s="8" t="str">
        <f>IFERROR(VLOOKUP($B42,商品台帳!$A$4:$N$502,7,FALSE),"")</f>
        <v/>
      </c>
      <c r="I42" s="8" t="str">
        <f>IFERROR(VLOOKUP($B42,商品台帳!$A$4:$N$502,8,FALSE),"")</f>
        <v/>
      </c>
      <c r="J42" s="8" t="str">
        <f>IFERROR(VLOOKUP($B42,商品台帳!$A$4:$N$502,9,FALSE),"")</f>
        <v/>
      </c>
      <c r="K42" s="8" t="str">
        <f>IFERROR(VLOOKUP($B42,商品台帳!$A$4:$N$502,10,FALSE),"")</f>
        <v/>
      </c>
      <c r="L42" s="8" t="str">
        <f>IFERROR(VLOOKUP($B42,商品台帳!$A$4:$N$502,11,FALSE),"")</f>
        <v/>
      </c>
      <c r="M42" s="8" t="str">
        <f>IFERROR(VLOOKUP($B42,商品台帳!$A$4:$N$502,12,FALSE),"")</f>
        <v/>
      </c>
      <c r="N42" s="8" t="str">
        <f>IFERROR(VLOOKUP($B42,商品台帳!$A$4:$N$502,13,FALSE),"")</f>
        <v/>
      </c>
      <c r="O42" s="8" t="str">
        <f>IFERROR(VLOOKUP($B42,商品台帳!$A$4:$N$502,14,FALSE),"")</f>
        <v/>
      </c>
    </row>
    <row r="43" spans="1:15">
      <c r="A43" s="17" t="s">
        <v>57</v>
      </c>
      <c r="B43" s="5"/>
      <c r="C43" s="8" t="str">
        <f>IFERROR(VLOOKUP($B43,商品台帳!$A$4:$N$502,2,FALSE),"")</f>
        <v/>
      </c>
      <c r="D43" s="8" t="str">
        <f>IFERROR(VLOOKUP($B43,商品台帳!$A$4:$N$502,3,FALSE),"")</f>
        <v/>
      </c>
      <c r="E43" s="8" t="str">
        <f>IFERROR(VLOOKUP($B43,商品台帳!$A$4:$N$502,4,FALSE),"")</f>
        <v/>
      </c>
      <c r="F43" s="8" t="str">
        <f>IFERROR(VLOOKUP($B43,商品台帳!$A$4:$N$502,5,FALSE),"")</f>
        <v/>
      </c>
      <c r="G43" s="8" t="str">
        <f>IFERROR(VLOOKUP($B43,商品台帳!$A$4:$N$502,6,FALSE),"")</f>
        <v/>
      </c>
      <c r="H43" s="8" t="str">
        <f>IFERROR(VLOOKUP($B43,商品台帳!$A$4:$N$502,7,FALSE),"")</f>
        <v/>
      </c>
      <c r="I43" s="8" t="str">
        <f>IFERROR(VLOOKUP($B43,商品台帳!$A$4:$N$502,8,FALSE),"")</f>
        <v/>
      </c>
      <c r="J43" s="8" t="str">
        <f>IFERROR(VLOOKUP($B43,商品台帳!$A$4:$N$502,9,FALSE),"")</f>
        <v/>
      </c>
      <c r="K43" s="8" t="str">
        <f>IFERROR(VLOOKUP($B43,商品台帳!$A$4:$N$502,10,FALSE),"")</f>
        <v/>
      </c>
      <c r="L43" s="8" t="str">
        <f>IFERROR(VLOOKUP($B43,商品台帳!$A$4:$N$502,11,FALSE),"")</f>
        <v/>
      </c>
      <c r="M43" s="8" t="str">
        <f>IFERROR(VLOOKUP($B43,商品台帳!$A$4:$N$502,12,FALSE),"")</f>
        <v/>
      </c>
      <c r="N43" s="8" t="str">
        <f>IFERROR(VLOOKUP($B43,商品台帳!$A$4:$N$502,13,FALSE),"")</f>
        <v/>
      </c>
      <c r="O43" s="8" t="str">
        <f>IFERROR(VLOOKUP($B43,商品台帳!$A$4:$N$502,14,FALSE),"")</f>
        <v/>
      </c>
    </row>
    <row r="44" spans="1:15">
      <c r="A44" s="17" t="s">
        <v>58</v>
      </c>
      <c r="B44" s="5"/>
      <c r="C44" s="8" t="str">
        <f>IFERROR(VLOOKUP($B44,商品台帳!$A$4:$N$502,2,FALSE),"")</f>
        <v/>
      </c>
      <c r="D44" s="8" t="str">
        <f>IFERROR(VLOOKUP($B44,商品台帳!$A$4:$N$502,3,FALSE),"")</f>
        <v/>
      </c>
      <c r="E44" s="8" t="str">
        <f>IFERROR(VLOOKUP($B44,商品台帳!$A$4:$N$502,4,FALSE),"")</f>
        <v/>
      </c>
      <c r="F44" s="8" t="str">
        <f>IFERROR(VLOOKUP($B44,商品台帳!$A$4:$N$502,5,FALSE),"")</f>
        <v/>
      </c>
      <c r="G44" s="8" t="str">
        <f>IFERROR(VLOOKUP($B44,商品台帳!$A$4:$N$502,6,FALSE),"")</f>
        <v/>
      </c>
      <c r="H44" s="8" t="str">
        <f>IFERROR(VLOOKUP($B44,商品台帳!$A$4:$N$502,7,FALSE),"")</f>
        <v/>
      </c>
      <c r="I44" s="8" t="str">
        <f>IFERROR(VLOOKUP($B44,商品台帳!$A$4:$N$502,8,FALSE),"")</f>
        <v/>
      </c>
      <c r="J44" s="8" t="str">
        <f>IFERROR(VLOOKUP($B44,商品台帳!$A$4:$N$502,9,FALSE),"")</f>
        <v/>
      </c>
      <c r="K44" s="8" t="str">
        <f>IFERROR(VLOOKUP($B44,商品台帳!$A$4:$N$502,10,FALSE),"")</f>
        <v/>
      </c>
      <c r="L44" s="8" t="str">
        <f>IFERROR(VLOOKUP($B44,商品台帳!$A$4:$N$502,11,FALSE),"")</f>
        <v/>
      </c>
      <c r="M44" s="8" t="str">
        <f>IFERROR(VLOOKUP($B44,商品台帳!$A$4:$N$502,12,FALSE),"")</f>
        <v/>
      </c>
      <c r="N44" s="8" t="str">
        <f>IFERROR(VLOOKUP($B44,商品台帳!$A$4:$N$502,13,FALSE),"")</f>
        <v/>
      </c>
      <c r="O44" s="8" t="str">
        <f>IFERROR(VLOOKUP($B44,商品台帳!$A$4:$N$502,14,FALSE),"")</f>
        <v/>
      </c>
    </row>
    <row r="45" spans="1:15">
      <c r="A45" s="17" t="s">
        <v>59</v>
      </c>
      <c r="B45" s="5"/>
      <c r="C45" s="8" t="str">
        <f>IFERROR(VLOOKUP($B45,商品台帳!$A$4:$N$502,2,FALSE),"")</f>
        <v/>
      </c>
      <c r="D45" s="8" t="str">
        <f>IFERROR(VLOOKUP($B45,商品台帳!$A$4:$N$502,3,FALSE),"")</f>
        <v/>
      </c>
      <c r="E45" s="8" t="str">
        <f>IFERROR(VLOOKUP($B45,商品台帳!$A$4:$N$502,4,FALSE),"")</f>
        <v/>
      </c>
      <c r="F45" s="8" t="str">
        <f>IFERROR(VLOOKUP($B45,商品台帳!$A$4:$N$502,5,FALSE),"")</f>
        <v/>
      </c>
      <c r="G45" s="8" t="str">
        <f>IFERROR(VLOOKUP($B45,商品台帳!$A$4:$N$502,6,FALSE),"")</f>
        <v/>
      </c>
      <c r="H45" s="8" t="str">
        <f>IFERROR(VLOOKUP($B45,商品台帳!$A$4:$N$502,7,FALSE),"")</f>
        <v/>
      </c>
      <c r="I45" s="8" t="str">
        <f>IFERROR(VLOOKUP($B45,商品台帳!$A$4:$N$502,8,FALSE),"")</f>
        <v/>
      </c>
      <c r="J45" s="8" t="str">
        <f>IFERROR(VLOOKUP($B45,商品台帳!$A$4:$N$502,9,FALSE),"")</f>
        <v/>
      </c>
      <c r="K45" s="8" t="str">
        <f>IFERROR(VLOOKUP($B45,商品台帳!$A$4:$N$502,10,FALSE),"")</f>
        <v/>
      </c>
      <c r="L45" s="8" t="str">
        <f>IFERROR(VLOOKUP($B45,商品台帳!$A$4:$N$502,11,FALSE),"")</f>
        <v/>
      </c>
      <c r="M45" s="8" t="str">
        <f>IFERROR(VLOOKUP($B45,商品台帳!$A$4:$N$502,12,FALSE),"")</f>
        <v/>
      </c>
      <c r="N45" s="8" t="str">
        <f>IFERROR(VLOOKUP($B45,商品台帳!$A$4:$N$502,13,FALSE),"")</f>
        <v/>
      </c>
      <c r="O45" s="8" t="str">
        <f>IFERROR(VLOOKUP($B45,商品台帳!$A$4:$N$502,14,FALSE),"")</f>
        <v/>
      </c>
    </row>
    <row r="46" spans="1:15">
      <c r="A46" s="17" t="s">
        <v>60</v>
      </c>
      <c r="B46" s="5"/>
      <c r="C46" s="8" t="str">
        <f>IFERROR(VLOOKUP($B46,商品台帳!$A$4:$N$502,2,FALSE),"")</f>
        <v/>
      </c>
      <c r="D46" s="8" t="str">
        <f>IFERROR(VLOOKUP($B46,商品台帳!$A$4:$N$502,3,FALSE),"")</f>
        <v/>
      </c>
      <c r="E46" s="8" t="str">
        <f>IFERROR(VLOOKUP($B46,商品台帳!$A$4:$N$502,4,FALSE),"")</f>
        <v/>
      </c>
      <c r="F46" s="8" t="str">
        <f>IFERROR(VLOOKUP($B46,商品台帳!$A$4:$N$502,5,FALSE),"")</f>
        <v/>
      </c>
      <c r="G46" s="8" t="str">
        <f>IFERROR(VLOOKUP($B46,商品台帳!$A$4:$N$502,6,FALSE),"")</f>
        <v/>
      </c>
      <c r="H46" s="8" t="str">
        <f>IFERROR(VLOOKUP($B46,商品台帳!$A$4:$N$502,7,FALSE),"")</f>
        <v/>
      </c>
      <c r="I46" s="8" t="str">
        <f>IFERROR(VLOOKUP($B46,商品台帳!$A$4:$N$502,8,FALSE),"")</f>
        <v/>
      </c>
      <c r="J46" s="8" t="str">
        <f>IFERROR(VLOOKUP($B46,商品台帳!$A$4:$N$502,9,FALSE),"")</f>
        <v/>
      </c>
      <c r="K46" s="8" t="str">
        <f>IFERROR(VLOOKUP($B46,商品台帳!$A$4:$N$502,10,FALSE),"")</f>
        <v/>
      </c>
      <c r="L46" s="8" t="str">
        <f>IFERROR(VLOOKUP($B46,商品台帳!$A$4:$N$502,11,FALSE),"")</f>
        <v/>
      </c>
      <c r="M46" s="8" t="str">
        <f>IFERROR(VLOOKUP($B46,商品台帳!$A$4:$N$502,12,FALSE),"")</f>
        <v/>
      </c>
      <c r="N46" s="8" t="str">
        <f>IFERROR(VLOOKUP($B46,商品台帳!$A$4:$N$502,13,FALSE),"")</f>
        <v/>
      </c>
      <c r="O46" s="8" t="str">
        <f>IFERROR(VLOOKUP($B46,商品台帳!$A$4:$N$502,14,FALSE),"")</f>
        <v/>
      </c>
    </row>
    <row r="47" spans="1:15">
      <c r="A47" s="17" t="s">
        <v>61</v>
      </c>
      <c r="B47" s="5"/>
      <c r="C47" s="8" t="str">
        <f>IFERROR(VLOOKUP($B47,商品台帳!$A$4:$N$502,2,FALSE),"")</f>
        <v/>
      </c>
      <c r="D47" s="8" t="str">
        <f>IFERROR(VLOOKUP($B47,商品台帳!$A$4:$N$502,3,FALSE),"")</f>
        <v/>
      </c>
      <c r="E47" s="8" t="str">
        <f>IFERROR(VLOOKUP($B47,商品台帳!$A$4:$N$502,4,FALSE),"")</f>
        <v/>
      </c>
      <c r="F47" s="8" t="str">
        <f>IFERROR(VLOOKUP($B47,商品台帳!$A$4:$N$502,5,FALSE),"")</f>
        <v/>
      </c>
      <c r="G47" s="8" t="str">
        <f>IFERROR(VLOOKUP($B47,商品台帳!$A$4:$N$502,6,FALSE),"")</f>
        <v/>
      </c>
      <c r="H47" s="8" t="str">
        <f>IFERROR(VLOOKUP($B47,商品台帳!$A$4:$N$502,7,FALSE),"")</f>
        <v/>
      </c>
      <c r="I47" s="8" t="str">
        <f>IFERROR(VLOOKUP($B47,商品台帳!$A$4:$N$502,8,FALSE),"")</f>
        <v/>
      </c>
      <c r="J47" s="8" t="str">
        <f>IFERROR(VLOOKUP($B47,商品台帳!$A$4:$N$502,9,FALSE),"")</f>
        <v/>
      </c>
      <c r="K47" s="8" t="str">
        <f>IFERROR(VLOOKUP($B47,商品台帳!$A$4:$N$502,10,FALSE),"")</f>
        <v/>
      </c>
      <c r="L47" s="8" t="str">
        <f>IFERROR(VLOOKUP($B47,商品台帳!$A$4:$N$502,11,FALSE),"")</f>
        <v/>
      </c>
      <c r="M47" s="8" t="str">
        <f>IFERROR(VLOOKUP($B47,商品台帳!$A$4:$N$502,12,FALSE),"")</f>
        <v/>
      </c>
      <c r="N47" s="8" t="str">
        <f>IFERROR(VLOOKUP($B47,商品台帳!$A$4:$N$502,13,FALSE),"")</f>
        <v/>
      </c>
      <c r="O47" s="8" t="str">
        <f>IFERROR(VLOOKUP($B47,商品台帳!$A$4:$N$502,14,FALSE),"")</f>
        <v/>
      </c>
    </row>
    <row r="48" spans="1:15">
      <c r="A48" s="17" t="s">
        <v>62</v>
      </c>
      <c r="B48" s="5"/>
      <c r="C48" s="8" t="str">
        <f>IFERROR(VLOOKUP($B48,商品台帳!$A$4:$N$502,2,FALSE),"")</f>
        <v/>
      </c>
      <c r="D48" s="8" t="str">
        <f>IFERROR(VLOOKUP($B48,商品台帳!$A$4:$N$502,3,FALSE),"")</f>
        <v/>
      </c>
      <c r="E48" s="8" t="str">
        <f>IFERROR(VLOOKUP($B48,商品台帳!$A$4:$N$502,4,FALSE),"")</f>
        <v/>
      </c>
      <c r="F48" s="8" t="str">
        <f>IFERROR(VLOOKUP($B48,商品台帳!$A$4:$N$502,5,FALSE),"")</f>
        <v/>
      </c>
      <c r="G48" s="8" t="str">
        <f>IFERROR(VLOOKUP($B48,商品台帳!$A$4:$N$502,6,FALSE),"")</f>
        <v/>
      </c>
      <c r="H48" s="8" t="str">
        <f>IFERROR(VLOOKUP($B48,商品台帳!$A$4:$N$502,7,FALSE),"")</f>
        <v/>
      </c>
      <c r="I48" s="8" t="str">
        <f>IFERROR(VLOOKUP($B48,商品台帳!$A$4:$N$502,8,FALSE),"")</f>
        <v/>
      </c>
      <c r="J48" s="8" t="str">
        <f>IFERROR(VLOOKUP($B48,商品台帳!$A$4:$N$502,9,FALSE),"")</f>
        <v/>
      </c>
      <c r="K48" s="8" t="str">
        <f>IFERROR(VLOOKUP($B48,商品台帳!$A$4:$N$502,10,FALSE),"")</f>
        <v/>
      </c>
      <c r="L48" s="8" t="str">
        <f>IFERROR(VLOOKUP($B48,商品台帳!$A$4:$N$502,11,FALSE),"")</f>
        <v/>
      </c>
      <c r="M48" s="8" t="str">
        <f>IFERROR(VLOOKUP($B48,商品台帳!$A$4:$N$502,12,FALSE),"")</f>
        <v/>
      </c>
      <c r="N48" s="8" t="str">
        <f>IFERROR(VLOOKUP($B48,商品台帳!$A$4:$N$502,13,FALSE),"")</f>
        <v/>
      </c>
      <c r="O48" s="8" t="str">
        <f>IFERROR(VLOOKUP($B48,商品台帳!$A$4:$N$502,14,FALSE),"")</f>
        <v/>
      </c>
    </row>
    <row r="49" spans="1:15">
      <c r="A49" s="17" t="s">
        <v>63</v>
      </c>
      <c r="B49" s="5"/>
      <c r="C49" s="8" t="str">
        <f>IFERROR(VLOOKUP($B49,商品台帳!$A$4:$N$502,2,FALSE),"")</f>
        <v/>
      </c>
      <c r="D49" s="8" t="str">
        <f>IFERROR(VLOOKUP($B49,商品台帳!$A$4:$N$502,3,FALSE),"")</f>
        <v/>
      </c>
      <c r="E49" s="8" t="str">
        <f>IFERROR(VLOOKUP($B49,商品台帳!$A$4:$N$502,4,FALSE),"")</f>
        <v/>
      </c>
      <c r="F49" s="8" t="str">
        <f>IFERROR(VLOOKUP($B49,商品台帳!$A$4:$N$502,5,FALSE),"")</f>
        <v/>
      </c>
      <c r="G49" s="8" t="str">
        <f>IFERROR(VLOOKUP($B49,商品台帳!$A$4:$N$502,6,FALSE),"")</f>
        <v/>
      </c>
      <c r="H49" s="8" t="str">
        <f>IFERROR(VLOOKUP($B49,商品台帳!$A$4:$N$502,7,FALSE),"")</f>
        <v/>
      </c>
      <c r="I49" s="8" t="str">
        <f>IFERROR(VLOOKUP($B49,商品台帳!$A$4:$N$502,8,FALSE),"")</f>
        <v/>
      </c>
      <c r="J49" s="8" t="str">
        <f>IFERROR(VLOOKUP($B49,商品台帳!$A$4:$N$502,9,FALSE),"")</f>
        <v/>
      </c>
      <c r="K49" s="8" t="str">
        <f>IFERROR(VLOOKUP($B49,商品台帳!$A$4:$N$502,10,FALSE),"")</f>
        <v/>
      </c>
      <c r="L49" s="8" t="str">
        <f>IFERROR(VLOOKUP($B49,商品台帳!$A$4:$N$502,11,FALSE),"")</f>
        <v/>
      </c>
      <c r="M49" s="8" t="str">
        <f>IFERROR(VLOOKUP($B49,商品台帳!$A$4:$N$502,12,FALSE),"")</f>
        <v/>
      </c>
      <c r="N49" s="8" t="str">
        <f>IFERROR(VLOOKUP($B49,商品台帳!$A$4:$N$502,13,FALSE),"")</f>
        <v/>
      </c>
      <c r="O49" s="8" t="str">
        <f>IFERROR(VLOOKUP($B49,商品台帳!$A$4:$N$502,14,FALSE),"")</f>
        <v/>
      </c>
    </row>
    <row r="50" spans="1:15">
      <c r="A50" s="17" t="s">
        <v>64</v>
      </c>
      <c r="B50" s="5"/>
      <c r="C50" s="8" t="str">
        <f>IFERROR(VLOOKUP($B50,商品台帳!$A$4:$N$502,2,FALSE),"")</f>
        <v/>
      </c>
      <c r="D50" s="8" t="str">
        <f>IFERROR(VLOOKUP($B50,商品台帳!$A$4:$N$502,3,FALSE),"")</f>
        <v/>
      </c>
      <c r="E50" s="8" t="str">
        <f>IFERROR(VLOOKUP($B50,商品台帳!$A$4:$N$502,4,FALSE),"")</f>
        <v/>
      </c>
      <c r="F50" s="8" t="str">
        <f>IFERROR(VLOOKUP($B50,商品台帳!$A$4:$N$502,5,FALSE),"")</f>
        <v/>
      </c>
      <c r="G50" s="8" t="str">
        <f>IFERROR(VLOOKUP($B50,商品台帳!$A$4:$N$502,6,FALSE),"")</f>
        <v/>
      </c>
      <c r="H50" s="8" t="str">
        <f>IFERROR(VLOOKUP($B50,商品台帳!$A$4:$N$502,7,FALSE),"")</f>
        <v/>
      </c>
      <c r="I50" s="8" t="str">
        <f>IFERROR(VLOOKUP($B50,商品台帳!$A$4:$N$502,8,FALSE),"")</f>
        <v/>
      </c>
      <c r="J50" s="8" t="str">
        <f>IFERROR(VLOOKUP($B50,商品台帳!$A$4:$N$502,9,FALSE),"")</f>
        <v/>
      </c>
      <c r="K50" s="8" t="str">
        <f>IFERROR(VLOOKUP($B50,商品台帳!$A$4:$N$502,10,FALSE),"")</f>
        <v/>
      </c>
      <c r="L50" s="8" t="str">
        <f>IFERROR(VLOOKUP($B50,商品台帳!$A$4:$N$502,11,FALSE),"")</f>
        <v/>
      </c>
      <c r="M50" s="8" t="str">
        <f>IFERROR(VLOOKUP($B50,商品台帳!$A$4:$N$502,12,FALSE),"")</f>
        <v/>
      </c>
      <c r="N50" s="8" t="str">
        <f>IFERROR(VLOOKUP($B50,商品台帳!$A$4:$N$502,13,FALSE),"")</f>
        <v/>
      </c>
      <c r="O50" s="8" t="str">
        <f>IFERROR(VLOOKUP($B50,商品台帳!$A$4:$N$502,14,FALSE),"")</f>
        <v/>
      </c>
    </row>
    <row r="51" spans="1:15">
      <c r="A51" s="17" t="s">
        <v>65</v>
      </c>
      <c r="B51" s="5"/>
      <c r="C51" s="8" t="str">
        <f>IFERROR(VLOOKUP($B51,商品台帳!$A$4:$N$502,2,FALSE),"")</f>
        <v/>
      </c>
      <c r="D51" s="8" t="str">
        <f>IFERROR(VLOOKUP($B51,商品台帳!$A$4:$N$502,3,FALSE),"")</f>
        <v/>
      </c>
      <c r="E51" s="8" t="str">
        <f>IFERROR(VLOOKUP($B51,商品台帳!$A$4:$N$502,4,FALSE),"")</f>
        <v/>
      </c>
      <c r="F51" s="8" t="str">
        <f>IFERROR(VLOOKUP($B51,商品台帳!$A$4:$N$502,5,FALSE),"")</f>
        <v/>
      </c>
      <c r="G51" s="8" t="str">
        <f>IFERROR(VLOOKUP($B51,商品台帳!$A$4:$N$502,6,FALSE),"")</f>
        <v/>
      </c>
      <c r="H51" s="8" t="str">
        <f>IFERROR(VLOOKUP($B51,商品台帳!$A$4:$N$502,7,FALSE),"")</f>
        <v/>
      </c>
      <c r="I51" s="8" t="str">
        <f>IFERROR(VLOOKUP($B51,商品台帳!$A$4:$N$502,8,FALSE),"")</f>
        <v/>
      </c>
      <c r="J51" s="8" t="str">
        <f>IFERROR(VLOOKUP($B51,商品台帳!$A$4:$N$502,9,FALSE),"")</f>
        <v/>
      </c>
      <c r="K51" s="8" t="str">
        <f>IFERROR(VLOOKUP($B51,商品台帳!$A$4:$N$502,10,FALSE),"")</f>
        <v/>
      </c>
      <c r="L51" s="8" t="str">
        <f>IFERROR(VLOOKUP($B51,商品台帳!$A$4:$N$502,11,FALSE),"")</f>
        <v/>
      </c>
      <c r="M51" s="8" t="str">
        <f>IFERROR(VLOOKUP($B51,商品台帳!$A$4:$N$502,12,FALSE),"")</f>
        <v/>
      </c>
      <c r="N51" s="8" t="str">
        <f>IFERROR(VLOOKUP($B51,商品台帳!$A$4:$N$502,13,FALSE),"")</f>
        <v/>
      </c>
      <c r="O51" s="8" t="str">
        <f>IFERROR(VLOOKUP($B51,商品台帳!$A$4:$N$502,14,FALSE),"")</f>
        <v/>
      </c>
    </row>
    <row r="52" spans="1:15">
      <c r="A52" s="17" t="s">
        <v>66</v>
      </c>
      <c r="B52" s="5"/>
      <c r="C52" s="8" t="str">
        <f>IFERROR(VLOOKUP($B52,商品台帳!$A$4:$N$502,2,FALSE),"")</f>
        <v/>
      </c>
      <c r="D52" s="8" t="str">
        <f>IFERROR(VLOOKUP($B52,商品台帳!$A$4:$N$502,3,FALSE),"")</f>
        <v/>
      </c>
      <c r="E52" s="8" t="str">
        <f>IFERROR(VLOOKUP($B52,商品台帳!$A$4:$N$502,4,FALSE),"")</f>
        <v/>
      </c>
      <c r="F52" s="8" t="str">
        <f>IFERROR(VLOOKUP($B52,商品台帳!$A$4:$N$502,5,FALSE),"")</f>
        <v/>
      </c>
      <c r="G52" s="8" t="str">
        <f>IFERROR(VLOOKUP($B52,商品台帳!$A$4:$N$502,6,FALSE),"")</f>
        <v/>
      </c>
      <c r="H52" s="8" t="str">
        <f>IFERROR(VLOOKUP($B52,商品台帳!$A$4:$N$502,7,FALSE),"")</f>
        <v/>
      </c>
      <c r="I52" s="8" t="str">
        <f>IFERROR(VLOOKUP($B52,商品台帳!$A$4:$N$502,8,FALSE),"")</f>
        <v/>
      </c>
      <c r="J52" s="8" t="str">
        <f>IFERROR(VLOOKUP($B52,商品台帳!$A$4:$N$502,9,FALSE),"")</f>
        <v/>
      </c>
      <c r="K52" s="8" t="str">
        <f>IFERROR(VLOOKUP($B52,商品台帳!$A$4:$N$502,10,FALSE),"")</f>
        <v/>
      </c>
      <c r="L52" s="8" t="str">
        <f>IFERROR(VLOOKUP($B52,商品台帳!$A$4:$N$502,11,FALSE),"")</f>
        <v/>
      </c>
      <c r="M52" s="8" t="str">
        <f>IFERROR(VLOOKUP($B52,商品台帳!$A$4:$N$502,12,FALSE),"")</f>
        <v/>
      </c>
      <c r="N52" s="8" t="str">
        <f>IFERROR(VLOOKUP($B52,商品台帳!$A$4:$N$502,13,FALSE),"")</f>
        <v/>
      </c>
      <c r="O52" s="8" t="str">
        <f>IFERROR(VLOOKUP($B52,商品台帳!$A$4:$N$502,14,FALSE),"")</f>
        <v/>
      </c>
    </row>
    <row r="53" spans="1:15">
      <c r="A53" s="17" t="s">
        <v>67</v>
      </c>
      <c r="B53" s="5"/>
      <c r="C53" s="8" t="str">
        <f>IFERROR(VLOOKUP($B53,商品台帳!$A$4:$N$502,2,FALSE),"")</f>
        <v/>
      </c>
      <c r="D53" s="8" t="str">
        <f>IFERROR(VLOOKUP($B53,商品台帳!$A$4:$N$502,3,FALSE),"")</f>
        <v/>
      </c>
      <c r="E53" s="8" t="str">
        <f>IFERROR(VLOOKUP($B53,商品台帳!$A$4:$N$502,4,FALSE),"")</f>
        <v/>
      </c>
      <c r="F53" s="8" t="str">
        <f>IFERROR(VLOOKUP($B53,商品台帳!$A$4:$N$502,5,FALSE),"")</f>
        <v/>
      </c>
      <c r="G53" s="8" t="str">
        <f>IFERROR(VLOOKUP($B53,商品台帳!$A$4:$N$502,6,FALSE),"")</f>
        <v/>
      </c>
      <c r="H53" s="8" t="str">
        <f>IFERROR(VLOOKUP($B53,商品台帳!$A$4:$N$502,7,FALSE),"")</f>
        <v/>
      </c>
      <c r="I53" s="8" t="str">
        <f>IFERROR(VLOOKUP($B53,商品台帳!$A$4:$N$502,8,FALSE),"")</f>
        <v/>
      </c>
      <c r="J53" s="8" t="str">
        <f>IFERROR(VLOOKUP($B53,商品台帳!$A$4:$N$502,9,FALSE),"")</f>
        <v/>
      </c>
      <c r="K53" s="8" t="str">
        <f>IFERROR(VLOOKUP($B53,商品台帳!$A$4:$N$502,10,FALSE),"")</f>
        <v/>
      </c>
      <c r="L53" s="8" t="str">
        <f>IFERROR(VLOOKUP($B53,商品台帳!$A$4:$N$502,11,FALSE),"")</f>
        <v/>
      </c>
      <c r="M53" s="8" t="str">
        <f>IFERROR(VLOOKUP($B53,商品台帳!$A$4:$N$502,12,FALSE),"")</f>
        <v/>
      </c>
      <c r="N53" s="8" t="str">
        <f>IFERROR(VLOOKUP($B53,商品台帳!$A$4:$N$502,13,FALSE),"")</f>
        <v/>
      </c>
      <c r="O53" s="8" t="str">
        <f>IFERROR(VLOOKUP($B53,商品台帳!$A$4:$N$502,14,FALSE),"")</f>
        <v/>
      </c>
    </row>
    <row r="54" spans="1:15">
      <c r="A54" s="17" t="s">
        <v>68</v>
      </c>
      <c r="B54" s="5"/>
      <c r="C54" s="8" t="str">
        <f>IFERROR(VLOOKUP($B54,商品台帳!$A$4:$N$502,2,FALSE),"")</f>
        <v/>
      </c>
      <c r="D54" s="8" t="str">
        <f>IFERROR(VLOOKUP($B54,商品台帳!$A$4:$N$502,3,FALSE),"")</f>
        <v/>
      </c>
      <c r="E54" s="8" t="str">
        <f>IFERROR(VLOOKUP($B54,商品台帳!$A$4:$N$502,4,FALSE),"")</f>
        <v/>
      </c>
      <c r="F54" s="8" t="str">
        <f>IFERROR(VLOOKUP($B54,商品台帳!$A$4:$N$502,5,FALSE),"")</f>
        <v/>
      </c>
      <c r="G54" s="8" t="str">
        <f>IFERROR(VLOOKUP($B54,商品台帳!$A$4:$N$502,6,FALSE),"")</f>
        <v/>
      </c>
      <c r="H54" s="8" t="str">
        <f>IFERROR(VLOOKUP($B54,商品台帳!$A$4:$N$502,7,FALSE),"")</f>
        <v/>
      </c>
      <c r="I54" s="8" t="str">
        <f>IFERROR(VLOOKUP($B54,商品台帳!$A$4:$N$502,8,FALSE),"")</f>
        <v/>
      </c>
      <c r="J54" s="8" t="str">
        <f>IFERROR(VLOOKUP($B54,商品台帳!$A$4:$N$502,9,FALSE),"")</f>
        <v/>
      </c>
      <c r="K54" s="8" t="str">
        <f>IFERROR(VLOOKUP($B54,商品台帳!$A$4:$N$502,10,FALSE),"")</f>
        <v/>
      </c>
      <c r="L54" s="8" t="str">
        <f>IFERROR(VLOOKUP($B54,商品台帳!$A$4:$N$502,11,FALSE),"")</f>
        <v/>
      </c>
      <c r="M54" s="8" t="str">
        <f>IFERROR(VLOOKUP($B54,商品台帳!$A$4:$N$502,12,FALSE),"")</f>
        <v/>
      </c>
      <c r="N54" s="8" t="str">
        <f>IFERROR(VLOOKUP($B54,商品台帳!$A$4:$N$502,13,FALSE),"")</f>
        <v/>
      </c>
      <c r="O54" s="8" t="str">
        <f>IFERROR(VLOOKUP($B54,商品台帳!$A$4:$N$502,14,FALSE),"")</f>
        <v/>
      </c>
    </row>
    <row r="55" spans="1:15">
      <c r="A55" s="17" t="s">
        <v>69</v>
      </c>
      <c r="B55" s="5"/>
      <c r="C55" s="8" t="str">
        <f>IFERROR(VLOOKUP($B55,商品台帳!$A$4:$N$502,2,FALSE),"")</f>
        <v/>
      </c>
      <c r="D55" s="8" t="str">
        <f>IFERROR(VLOOKUP($B55,商品台帳!$A$4:$N$502,3,FALSE),"")</f>
        <v/>
      </c>
      <c r="E55" s="8" t="str">
        <f>IFERROR(VLOOKUP($B55,商品台帳!$A$4:$N$502,4,FALSE),"")</f>
        <v/>
      </c>
      <c r="F55" s="8" t="str">
        <f>IFERROR(VLOOKUP($B55,商品台帳!$A$4:$N$502,5,FALSE),"")</f>
        <v/>
      </c>
      <c r="G55" s="8" t="str">
        <f>IFERROR(VLOOKUP($B55,商品台帳!$A$4:$N$502,6,FALSE),"")</f>
        <v/>
      </c>
      <c r="H55" s="8" t="str">
        <f>IFERROR(VLOOKUP($B55,商品台帳!$A$4:$N$502,7,FALSE),"")</f>
        <v/>
      </c>
      <c r="I55" s="8" t="str">
        <f>IFERROR(VLOOKUP($B55,商品台帳!$A$4:$N$502,8,FALSE),"")</f>
        <v/>
      </c>
      <c r="J55" s="8" t="str">
        <f>IFERROR(VLOOKUP($B55,商品台帳!$A$4:$N$502,9,FALSE),"")</f>
        <v/>
      </c>
      <c r="K55" s="8" t="str">
        <f>IFERROR(VLOOKUP($B55,商品台帳!$A$4:$N$502,10,FALSE),"")</f>
        <v/>
      </c>
      <c r="L55" s="8" t="str">
        <f>IFERROR(VLOOKUP($B55,商品台帳!$A$4:$N$502,11,FALSE),"")</f>
        <v/>
      </c>
      <c r="M55" s="8" t="str">
        <f>IFERROR(VLOOKUP($B55,商品台帳!$A$4:$N$502,12,FALSE),"")</f>
        <v/>
      </c>
      <c r="N55" s="8" t="str">
        <f>IFERROR(VLOOKUP($B55,商品台帳!$A$4:$N$502,13,FALSE),"")</f>
        <v/>
      </c>
      <c r="O55" s="8" t="str">
        <f>IFERROR(VLOOKUP($B55,商品台帳!$A$4:$N$502,14,FALSE),"")</f>
        <v/>
      </c>
    </row>
    <row r="56" spans="1:15">
      <c r="A56" s="17" t="s">
        <v>70</v>
      </c>
      <c r="B56" s="5"/>
      <c r="C56" s="8" t="str">
        <f>IFERROR(VLOOKUP($B56,商品台帳!$A$4:$N$502,2,FALSE),"")</f>
        <v/>
      </c>
      <c r="D56" s="8" t="str">
        <f>IFERROR(VLOOKUP($B56,商品台帳!$A$4:$N$502,3,FALSE),"")</f>
        <v/>
      </c>
      <c r="E56" s="8" t="str">
        <f>IFERROR(VLOOKUP($B56,商品台帳!$A$4:$N$502,4,FALSE),"")</f>
        <v/>
      </c>
      <c r="F56" s="8" t="str">
        <f>IFERROR(VLOOKUP($B56,商品台帳!$A$4:$N$502,5,FALSE),"")</f>
        <v/>
      </c>
      <c r="G56" s="8" t="str">
        <f>IFERROR(VLOOKUP($B56,商品台帳!$A$4:$N$502,6,FALSE),"")</f>
        <v/>
      </c>
      <c r="H56" s="8" t="str">
        <f>IFERROR(VLOOKUP($B56,商品台帳!$A$4:$N$502,7,FALSE),"")</f>
        <v/>
      </c>
      <c r="I56" s="8" t="str">
        <f>IFERROR(VLOOKUP($B56,商品台帳!$A$4:$N$502,8,FALSE),"")</f>
        <v/>
      </c>
      <c r="J56" s="8" t="str">
        <f>IFERROR(VLOOKUP($B56,商品台帳!$A$4:$N$502,9,FALSE),"")</f>
        <v/>
      </c>
      <c r="K56" s="8" t="str">
        <f>IFERROR(VLOOKUP($B56,商品台帳!$A$4:$N$502,10,FALSE),"")</f>
        <v/>
      </c>
      <c r="L56" s="8" t="str">
        <f>IFERROR(VLOOKUP($B56,商品台帳!$A$4:$N$502,11,FALSE),"")</f>
        <v/>
      </c>
      <c r="M56" s="8" t="str">
        <f>IFERROR(VLOOKUP($B56,商品台帳!$A$4:$N$502,12,FALSE),"")</f>
        <v/>
      </c>
      <c r="N56" s="8" t="str">
        <f>IFERROR(VLOOKUP($B56,商品台帳!$A$4:$N$502,13,FALSE),"")</f>
        <v/>
      </c>
      <c r="O56" s="8" t="str">
        <f>IFERROR(VLOOKUP($B56,商品台帳!$A$4:$N$502,14,FALSE),"")</f>
        <v/>
      </c>
    </row>
    <row r="57" spans="1:15">
      <c r="A57" s="17" t="s">
        <v>71</v>
      </c>
      <c r="B57" s="5"/>
      <c r="C57" s="8" t="str">
        <f>IFERROR(VLOOKUP($B57,商品台帳!$A$4:$N$502,2,FALSE),"")</f>
        <v/>
      </c>
      <c r="D57" s="8" t="str">
        <f>IFERROR(VLOOKUP($B57,商品台帳!$A$4:$N$502,3,FALSE),"")</f>
        <v/>
      </c>
      <c r="E57" s="8" t="str">
        <f>IFERROR(VLOOKUP($B57,商品台帳!$A$4:$N$502,4,FALSE),"")</f>
        <v/>
      </c>
      <c r="F57" s="8" t="str">
        <f>IFERROR(VLOOKUP($B57,商品台帳!$A$4:$N$502,5,FALSE),"")</f>
        <v/>
      </c>
      <c r="G57" s="8" t="str">
        <f>IFERROR(VLOOKUP($B57,商品台帳!$A$4:$N$502,6,FALSE),"")</f>
        <v/>
      </c>
      <c r="H57" s="8" t="str">
        <f>IFERROR(VLOOKUP($B57,商品台帳!$A$4:$N$502,7,FALSE),"")</f>
        <v/>
      </c>
      <c r="I57" s="8" t="str">
        <f>IFERROR(VLOOKUP($B57,商品台帳!$A$4:$N$502,8,FALSE),"")</f>
        <v/>
      </c>
      <c r="J57" s="8" t="str">
        <f>IFERROR(VLOOKUP($B57,商品台帳!$A$4:$N$502,9,FALSE),"")</f>
        <v/>
      </c>
      <c r="K57" s="8" t="str">
        <f>IFERROR(VLOOKUP($B57,商品台帳!$A$4:$N$502,10,FALSE),"")</f>
        <v/>
      </c>
      <c r="L57" s="8" t="str">
        <f>IFERROR(VLOOKUP($B57,商品台帳!$A$4:$N$502,11,FALSE),"")</f>
        <v/>
      </c>
      <c r="M57" s="8" t="str">
        <f>IFERROR(VLOOKUP($B57,商品台帳!$A$4:$N$502,12,FALSE),"")</f>
        <v/>
      </c>
      <c r="N57" s="8" t="str">
        <f>IFERROR(VLOOKUP($B57,商品台帳!$A$4:$N$502,13,FALSE),"")</f>
        <v/>
      </c>
      <c r="O57" s="8" t="str">
        <f>IFERROR(VLOOKUP($B57,商品台帳!$A$4:$N$502,14,FALSE),"")</f>
        <v/>
      </c>
    </row>
    <row r="58" spans="1:15">
      <c r="A58" s="17" t="s">
        <v>72</v>
      </c>
      <c r="B58" s="5"/>
      <c r="C58" s="8" t="str">
        <f>IFERROR(VLOOKUP($B58,商品台帳!$A$4:$N$502,2,FALSE),"")</f>
        <v/>
      </c>
      <c r="D58" s="8" t="str">
        <f>IFERROR(VLOOKUP($B58,商品台帳!$A$4:$N$502,3,FALSE),"")</f>
        <v/>
      </c>
      <c r="E58" s="8" t="str">
        <f>IFERROR(VLOOKUP($B58,商品台帳!$A$4:$N$502,4,FALSE),"")</f>
        <v/>
      </c>
      <c r="F58" s="8" t="str">
        <f>IFERROR(VLOOKUP($B58,商品台帳!$A$4:$N$502,5,FALSE),"")</f>
        <v/>
      </c>
      <c r="G58" s="8" t="str">
        <f>IFERROR(VLOOKUP($B58,商品台帳!$A$4:$N$502,6,FALSE),"")</f>
        <v/>
      </c>
      <c r="H58" s="8" t="str">
        <f>IFERROR(VLOOKUP($B58,商品台帳!$A$4:$N$502,7,FALSE),"")</f>
        <v/>
      </c>
      <c r="I58" s="8" t="str">
        <f>IFERROR(VLOOKUP($B58,商品台帳!$A$4:$N$502,8,FALSE),"")</f>
        <v/>
      </c>
      <c r="J58" s="8" t="str">
        <f>IFERROR(VLOOKUP($B58,商品台帳!$A$4:$N$502,9,FALSE),"")</f>
        <v/>
      </c>
      <c r="K58" s="8" t="str">
        <f>IFERROR(VLOOKUP($B58,商品台帳!$A$4:$N$502,10,FALSE),"")</f>
        <v/>
      </c>
      <c r="L58" s="8" t="str">
        <f>IFERROR(VLOOKUP($B58,商品台帳!$A$4:$N$502,11,FALSE),"")</f>
        <v/>
      </c>
      <c r="M58" s="8" t="str">
        <f>IFERROR(VLOOKUP($B58,商品台帳!$A$4:$N$502,12,FALSE),"")</f>
        <v/>
      </c>
      <c r="N58" s="8" t="str">
        <f>IFERROR(VLOOKUP($B58,商品台帳!$A$4:$N$502,13,FALSE),"")</f>
        <v/>
      </c>
      <c r="O58" s="8" t="str">
        <f>IFERROR(VLOOKUP($B58,商品台帳!$A$4:$N$502,14,FALSE),"")</f>
        <v/>
      </c>
    </row>
    <row r="59" spans="1:15">
      <c r="A59" s="17" t="s">
        <v>73</v>
      </c>
      <c r="B59" s="5"/>
      <c r="C59" s="8" t="str">
        <f>IFERROR(VLOOKUP($B59,商品台帳!$A$4:$N$502,2,FALSE),"")</f>
        <v/>
      </c>
      <c r="D59" s="8" t="str">
        <f>IFERROR(VLOOKUP($B59,商品台帳!$A$4:$N$502,3,FALSE),"")</f>
        <v/>
      </c>
      <c r="E59" s="8" t="str">
        <f>IFERROR(VLOOKUP($B59,商品台帳!$A$4:$N$502,4,FALSE),"")</f>
        <v/>
      </c>
      <c r="F59" s="8" t="str">
        <f>IFERROR(VLOOKUP($B59,商品台帳!$A$4:$N$502,5,FALSE),"")</f>
        <v/>
      </c>
      <c r="G59" s="8" t="str">
        <f>IFERROR(VLOOKUP($B59,商品台帳!$A$4:$N$502,6,FALSE),"")</f>
        <v/>
      </c>
      <c r="H59" s="8" t="str">
        <f>IFERROR(VLOOKUP($B59,商品台帳!$A$4:$N$502,7,FALSE),"")</f>
        <v/>
      </c>
      <c r="I59" s="8" t="str">
        <f>IFERROR(VLOOKUP($B59,商品台帳!$A$4:$N$502,8,FALSE),"")</f>
        <v/>
      </c>
      <c r="J59" s="8" t="str">
        <f>IFERROR(VLOOKUP($B59,商品台帳!$A$4:$N$502,9,FALSE),"")</f>
        <v/>
      </c>
      <c r="K59" s="8" t="str">
        <f>IFERROR(VLOOKUP($B59,商品台帳!$A$4:$N$502,10,FALSE),"")</f>
        <v/>
      </c>
      <c r="L59" s="8" t="str">
        <f>IFERROR(VLOOKUP($B59,商品台帳!$A$4:$N$502,11,FALSE),"")</f>
        <v/>
      </c>
      <c r="M59" s="8" t="str">
        <f>IFERROR(VLOOKUP($B59,商品台帳!$A$4:$N$502,12,FALSE),"")</f>
        <v/>
      </c>
      <c r="N59" s="8" t="str">
        <f>IFERROR(VLOOKUP($B59,商品台帳!$A$4:$N$502,13,FALSE),"")</f>
        <v/>
      </c>
      <c r="O59" s="8" t="str">
        <f>IFERROR(VLOOKUP($B59,商品台帳!$A$4:$N$502,14,FALSE),"")</f>
        <v/>
      </c>
    </row>
    <row r="60" spans="1:15">
      <c r="A60" s="17" t="s">
        <v>74</v>
      </c>
      <c r="B60" s="5"/>
      <c r="C60" s="8" t="str">
        <f>IFERROR(VLOOKUP($B60,商品台帳!$A$4:$N$502,2,FALSE),"")</f>
        <v/>
      </c>
      <c r="D60" s="8" t="str">
        <f>IFERROR(VLOOKUP($B60,商品台帳!$A$4:$N$502,3,FALSE),"")</f>
        <v/>
      </c>
      <c r="E60" s="8" t="str">
        <f>IFERROR(VLOOKUP($B60,商品台帳!$A$4:$N$502,4,FALSE),"")</f>
        <v/>
      </c>
      <c r="F60" s="8" t="str">
        <f>IFERROR(VLOOKUP($B60,商品台帳!$A$4:$N$502,5,FALSE),"")</f>
        <v/>
      </c>
      <c r="G60" s="8" t="str">
        <f>IFERROR(VLOOKUP($B60,商品台帳!$A$4:$N$502,6,FALSE),"")</f>
        <v/>
      </c>
      <c r="H60" s="8" t="str">
        <f>IFERROR(VLOOKUP($B60,商品台帳!$A$4:$N$502,7,FALSE),"")</f>
        <v/>
      </c>
      <c r="I60" s="8" t="str">
        <f>IFERROR(VLOOKUP($B60,商品台帳!$A$4:$N$502,8,FALSE),"")</f>
        <v/>
      </c>
      <c r="J60" s="8" t="str">
        <f>IFERROR(VLOOKUP($B60,商品台帳!$A$4:$N$502,9,FALSE),"")</f>
        <v/>
      </c>
      <c r="K60" s="8" t="str">
        <f>IFERROR(VLOOKUP($B60,商品台帳!$A$4:$N$502,10,FALSE),"")</f>
        <v/>
      </c>
      <c r="L60" s="8" t="str">
        <f>IFERROR(VLOOKUP($B60,商品台帳!$A$4:$N$502,11,FALSE),"")</f>
        <v/>
      </c>
      <c r="M60" s="8" t="str">
        <f>IFERROR(VLOOKUP($B60,商品台帳!$A$4:$N$502,12,FALSE),"")</f>
        <v/>
      </c>
      <c r="N60" s="8" t="str">
        <f>IFERROR(VLOOKUP($B60,商品台帳!$A$4:$N$502,13,FALSE),"")</f>
        <v/>
      </c>
      <c r="O60" s="8" t="str">
        <f>IFERROR(VLOOKUP($B60,商品台帳!$A$4:$N$502,14,FALSE),"")</f>
        <v/>
      </c>
    </row>
    <row r="61" spans="1:15">
      <c r="A61" s="17" t="s">
        <v>75</v>
      </c>
      <c r="B61" s="5"/>
      <c r="C61" s="8" t="str">
        <f>IFERROR(VLOOKUP($B61,商品台帳!$A$4:$N$502,2,FALSE),"")</f>
        <v/>
      </c>
      <c r="D61" s="8" t="str">
        <f>IFERROR(VLOOKUP($B61,商品台帳!$A$4:$N$502,3,FALSE),"")</f>
        <v/>
      </c>
      <c r="E61" s="8" t="str">
        <f>IFERROR(VLOOKUP($B61,商品台帳!$A$4:$N$502,4,FALSE),"")</f>
        <v/>
      </c>
      <c r="F61" s="8" t="str">
        <f>IFERROR(VLOOKUP($B61,商品台帳!$A$4:$N$502,5,FALSE),"")</f>
        <v/>
      </c>
      <c r="G61" s="8" t="str">
        <f>IFERROR(VLOOKUP($B61,商品台帳!$A$4:$N$502,6,FALSE),"")</f>
        <v/>
      </c>
      <c r="H61" s="8" t="str">
        <f>IFERROR(VLOOKUP($B61,商品台帳!$A$4:$N$502,7,FALSE),"")</f>
        <v/>
      </c>
      <c r="I61" s="8" t="str">
        <f>IFERROR(VLOOKUP($B61,商品台帳!$A$4:$N$502,8,FALSE),"")</f>
        <v/>
      </c>
      <c r="J61" s="8" t="str">
        <f>IFERROR(VLOOKUP($B61,商品台帳!$A$4:$N$502,9,FALSE),"")</f>
        <v/>
      </c>
      <c r="K61" s="8" t="str">
        <f>IFERROR(VLOOKUP($B61,商品台帳!$A$4:$N$502,10,FALSE),"")</f>
        <v/>
      </c>
      <c r="L61" s="8" t="str">
        <f>IFERROR(VLOOKUP($B61,商品台帳!$A$4:$N$502,11,FALSE),"")</f>
        <v/>
      </c>
      <c r="M61" s="8" t="str">
        <f>IFERROR(VLOOKUP($B61,商品台帳!$A$4:$N$502,12,FALSE),"")</f>
        <v/>
      </c>
      <c r="N61" s="8" t="str">
        <f>IFERROR(VLOOKUP($B61,商品台帳!$A$4:$N$502,13,FALSE),"")</f>
        <v/>
      </c>
      <c r="O61" s="8" t="str">
        <f>IFERROR(VLOOKUP($B61,商品台帳!$A$4:$N$502,14,FALSE),"")</f>
        <v/>
      </c>
    </row>
    <row r="62" spans="1:15">
      <c r="A62" s="17" t="s">
        <v>76</v>
      </c>
      <c r="B62" s="5"/>
      <c r="C62" s="8" t="str">
        <f>IFERROR(VLOOKUP($B62,商品台帳!$A$4:$N$502,2,FALSE),"")</f>
        <v/>
      </c>
      <c r="D62" s="8" t="str">
        <f>IFERROR(VLOOKUP($B62,商品台帳!$A$4:$N$502,3,FALSE),"")</f>
        <v/>
      </c>
      <c r="E62" s="8" t="str">
        <f>IFERROR(VLOOKUP($B62,商品台帳!$A$4:$N$502,4,FALSE),"")</f>
        <v/>
      </c>
      <c r="F62" s="8" t="str">
        <f>IFERROR(VLOOKUP($B62,商品台帳!$A$4:$N$502,5,FALSE),"")</f>
        <v/>
      </c>
      <c r="G62" s="8" t="str">
        <f>IFERROR(VLOOKUP($B62,商品台帳!$A$4:$N$502,6,FALSE),"")</f>
        <v/>
      </c>
      <c r="H62" s="8" t="str">
        <f>IFERROR(VLOOKUP($B62,商品台帳!$A$4:$N$502,7,FALSE),"")</f>
        <v/>
      </c>
      <c r="I62" s="8" t="str">
        <f>IFERROR(VLOOKUP($B62,商品台帳!$A$4:$N$502,8,FALSE),"")</f>
        <v/>
      </c>
      <c r="J62" s="8" t="str">
        <f>IFERROR(VLOOKUP($B62,商品台帳!$A$4:$N$502,9,FALSE),"")</f>
        <v/>
      </c>
      <c r="K62" s="8" t="str">
        <f>IFERROR(VLOOKUP($B62,商品台帳!$A$4:$N$502,10,FALSE),"")</f>
        <v/>
      </c>
      <c r="L62" s="8" t="str">
        <f>IFERROR(VLOOKUP($B62,商品台帳!$A$4:$N$502,11,FALSE),"")</f>
        <v/>
      </c>
      <c r="M62" s="8" t="str">
        <f>IFERROR(VLOOKUP($B62,商品台帳!$A$4:$N$502,12,FALSE),"")</f>
        <v/>
      </c>
      <c r="N62" s="8" t="str">
        <f>IFERROR(VLOOKUP($B62,商品台帳!$A$4:$N$502,13,FALSE),"")</f>
        <v/>
      </c>
      <c r="O62" s="8" t="str">
        <f>IFERROR(VLOOKUP($B62,商品台帳!$A$4:$N$502,14,FALSE),"")</f>
        <v/>
      </c>
    </row>
    <row r="63" spans="1:15">
      <c r="A63" s="17" t="s">
        <v>77</v>
      </c>
      <c r="B63" s="5"/>
      <c r="C63" s="8" t="str">
        <f>IFERROR(VLOOKUP($B63,商品台帳!$A$4:$N$502,2,FALSE),"")</f>
        <v/>
      </c>
      <c r="D63" s="8" t="str">
        <f>IFERROR(VLOOKUP($B63,商品台帳!$A$4:$N$502,3,FALSE),"")</f>
        <v/>
      </c>
      <c r="E63" s="8" t="str">
        <f>IFERROR(VLOOKUP($B63,商品台帳!$A$4:$N$502,4,FALSE),"")</f>
        <v/>
      </c>
      <c r="F63" s="8" t="str">
        <f>IFERROR(VLOOKUP($B63,商品台帳!$A$4:$N$502,5,FALSE),"")</f>
        <v/>
      </c>
      <c r="G63" s="8" t="str">
        <f>IFERROR(VLOOKUP($B63,商品台帳!$A$4:$N$502,6,FALSE),"")</f>
        <v/>
      </c>
      <c r="H63" s="8" t="str">
        <f>IFERROR(VLOOKUP($B63,商品台帳!$A$4:$N$502,7,FALSE),"")</f>
        <v/>
      </c>
      <c r="I63" s="8" t="str">
        <f>IFERROR(VLOOKUP($B63,商品台帳!$A$4:$N$502,8,FALSE),"")</f>
        <v/>
      </c>
      <c r="J63" s="8" t="str">
        <f>IFERROR(VLOOKUP($B63,商品台帳!$A$4:$N$502,9,FALSE),"")</f>
        <v/>
      </c>
      <c r="K63" s="8" t="str">
        <f>IFERROR(VLOOKUP($B63,商品台帳!$A$4:$N$502,10,FALSE),"")</f>
        <v/>
      </c>
      <c r="L63" s="8" t="str">
        <f>IFERROR(VLOOKUP($B63,商品台帳!$A$4:$N$502,11,FALSE),"")</f>
        <v/>
      </c>
      <c r="M63" s="8" t="str">
        <f>IFERROR(VLOOKUP($B63,商品台帳!$A$4:$N$502,12,FALSE),"")</f>
        <v/>
      </c>
      <c r="N63" s="8" t="str">
        <f>IFERROR(VLOOKUP($B63,商品台帳!$A$4:$N$502,13,FALSE),"")</f>
        <v/>
      </c>
      <c r="O63" s="8" t="str">
        <f>IFERROR(VLOOKUP($B63,商品台帳!$A$4:$N$502,14,FALSE),"")</f>
        <v/>
      </c>
    </row>
    <row r="64" spans="1:15">
      <c r="A64" s="17" t="s">
        <v>78</v>
      </c>
      <c r="B64" s="5"/>
      <c r="C64" s="8" t="str">
        <f>IFERROR(VLOOKUP($B64,商品台帳!$A$4:$N$502,2,FALSE),"")</f>
        <v/>
      </c>
      <c r="D64" s="8" t="str">
        <f>IFERROR(VLOOKUP($B64,商品台帳!$A$4:$N$502,3,FALSE),"")</f>
        <v/>
      </c>
      <c r="E64" s="8" t="str">
        <f>IFERROR(VLOOKUP($B64,商品台帳!$A$4:$N$502,4,FALSE),"")</f>
        <v/>
      </c>
      <c r="F64" s="8" t="str">
        <f>IFERROR(VLOOKUP($B64,商品台帳!$A$4:$N$502,5,FALSE),"")</f>
        <v/>
      </c>
      <c r="G64" s="8" t="str">
        <f>IFERROR(VLOOKUP($B64,商品台帳!$A$4:$N$502,6,FALSE),"")</f>
        <v/>
      </c>
      <c r="H64" s="8" t="str">
        <f>IFERROR(VLOOKUP($B64,商品台帳!$A$4:$N$502,7,FALSE),"")</f>
        <v/>
      </c>
      <c r="I64" s="8" t="str">
        <f>IFERROR(VLOOKUP($B64,商品台帳!$A$4:$N$502,8,FALSE),"")</f>
        <v/>
      </c>
      <c r="J64" s="8" t="str">
        <f>IFERROR(VLOOKUP($B64,商品台帳!$A$4:$N$502,9,FALSE),"")</f>
        <v/>
      </c>
      <c r="K64" s="8" t="str">
        <f>IFERROR(VLOOKUP($B64,商品台帳!$A$4:$N$502,10,FALSE),"")</f>
        <v/>
      </c>
      <c r="L64" s="8" t="str">
        <f>IFERROR(VLOOKUP($B64,商品台帳!$A$4:$N$502,11,FALSE),"")</f>
        <v/>
      </c>
      <c r="M64" s="8" t="str">
        <f>IFERROR(VLOOKUP($B64,商品台帳!$A$4:$N$502,12,FALSE),"")</f>
        <v/>
      </c>
      <c r="N64" s="8" t="str">
        <f>IFERROR(VLOOKUP($B64,商品台帳!$A$4:$N$502,13,FALSE),"")</f>
        <v/>
      </c>
      <c r="O64" s="8" t="str">
        <f>IFERROR(VLOOKUP($B64,商品台帳!$A$4:$N$502,14,FALSE),"")</f>
        <v/>
      </c>
    </row>
    <row r="65" spans="1:15">
      <c r="A65" s="17" t="s">
        <v>79</v>
      </c>
      <c r="B65" s="5"/>
      <c r="C65" s="8" t="str">
        <f>IFERROR(VLOOKUP($B65,商品台帳!$A$4:$N$502,2,FALSE),"")</f>
        <v/>
      </c>
      <c r="D65" s="8" t="str">
        <f>IFERROR(VLOOKUP($B65,商品台帳!$A$4:$N$502,3,FALSE),"")</f>
        <v/>
      </c>
      <c r="E65" s="8" t="str">
        <f>IFERROR(VLOOKUP($B65,商品台帳!$A$4:$N$502,4,FALSE),"")</f>
        <v/>
      </c>
      <c r="F65" s="8" t="str">
        <f>IFERROR(VLOOKUP($B65,商品台帳!$A$4:$N$502,5,FALSE),"")</f>
        <v/>
      </c>
      <c r="G65" s="8" t="str">
        <f>IFERROR(VLOOKUP($B65,商品台帳!$A$4:$N$502,6,FALSE),"")</f>
        <v/>
      </c>
      <c r="H65" s="8" t="str">
        <f>IFERROR(VLOOKUP($B65,商品台帳!$A$4:$N$502,7,FALSE),"")</f>
        <v/>
      </c>
      <c r="I65" s="8" t="str">
        <f>IFERROR(VLOOKUP($B65,商品台帳!$A$4:$N$502,8,FALSE),"")</f>
        <v/>
      </c>
      <c r="J65" s="8" t="str">
        <f>IFERROR(VLOOKUP($B65,商品台帳!$A$4:$N$502,9,FALSE),"")</f>
        <v/>
      </c>
      <c r="K65" s="8" t="str">
        <f>IFERROR(VLOOKUP($B65,商品台帳!$A$4:$N$502,10,FALSE),"")</f>
        <v/>
      </c>
      <c r="L65" s="8" t="str">
        <f>IFERROR(VLOOKUP($B65,商品台帳!$A$4:$N$502,11,FALSE),"")</f>
        <v/>
      </c>
      <c r="M65" s="8" t="str">
        <f>IFERROR(VLOOKUP($B65,商品台帳!$A$4:$N$502,12,FALSE),"")</f>
        <v/>
      </c>
      <c r="N65" s="8" t="str">
        <f>IFERROR(VLOOKUP($B65,商品台帳!$A$4:$N$502,13,FALSE),"")</f>
        <v/>
      </c>
      <c r="O65" s="8" t="str">
        <f>IFERROR(VLOOKUP($B65,商品台帳!$A$4:$N$502,14,FALSE),"")</f>
        <v/>
      </c>
    </row>
    <row r="66" spans="1:15">
      <c r="A66" s="17" t="s">
        <v>80</v>
      </c>
      <c r="B66" s="5"/>
      <c r="C66" s="8" t="str">
        <f>IFERROR(VLOOKUP($B66,商品台帳!$A$4:$N$502,2,FALSE),"")</f>
        <v/>
      </c>
      <c r="D66" s="8" t="str">
        <f>IFERROR(VLOOKUP($B66,商品台帳!$A$4:$N$502,3,FALSE),"")</f>
        <v/>
      </c>
      <c r="E66" s="8" t="str">
        <f>IFERROR(VLOOKUP($B66,商品台帳!$A$4:$N$502,4,FALSE),"")</f>
        <v/>
      </c>
      <c r="F66" s="8" t="str">
        <f>IFERROR(VLOOKUP($B66,商品台帳!$A$4:$N$502,5,FALSE),"")</f>
        <v/>
      </c>
      <c r="G66" s="8" t="str">
        <f>IFERROR(VLOOKUP($B66,商品台帳!$A$4:$N$502,6,FALSE),"")</f>
        <v/>
      </c>
      <c r="H66" s="8" t="str">
        <f>IFERROR(VLOOKUP($B66,商品台帳!$A$4:$N$502,7,FALSE),"")</f>
        <v/>
      </c>
      <c r="I66" s="8" t="str">
        <f>IFERROR(VLOOKUP($B66,商品台帳!$A$4:$N$502,8,FALSE),"")</f>
        <v/>
      </c>
      <c r="J66" s="8" t="str">
        <f>IFERROR(VLOOKUP($B66,商品台帳!$A$4:$N$502,9,FALSE),"")</f>
        <v/>
      </c>
      <c r="K66" s="8" t="str">
        <f>IFERROR(VLOOKUP($B66,商品台帳!$A$4:$N$502,10,FALSE),"")</f>
        <v/>
      </c>
      <c r="L66" s="8" t="str">
        <f>IFERROR(VLOOKUP($B66,商品台帳!$A$4:$N$502,11,FALSE),"")</f>
        <v/>
      </c>
      <c r="M66" s="8" t="str">
        <f>IFERROR(VLOOKUP($B66,商品台帳!$A$4:$N$502,12,FALSE),"")</f>
        <v/>
      </c>
      <c r="N66" s="8" t="str">
        <f>IFERROR(VLOOKUP($B66,商品台帳!$A$4:$N$502,13,FALSE),"")</f>
        <v/>
      </c>
      <c r="O66" s="8" t="str">
        <f>IFERROR(VLOOKUP($B66,商品台帳!$A$4:$N$502,14,FALSE),"")</f>
        <v/>
      </c>
    </row>
    <row r="67" spans="1:15">
      <c r="A67" s="17" t="s">
        <v>81</v>
      </c>
      <c r="B67" s="5"/>
      <c r="C67" s="8" t="str">
        <f>IFERROR(VLOOKUP($B67,商品台帳!$A$4:$N$502,2,FALSE),"")</f>
        <v/>
      </c>
      <c r="D67" s="8" t="str">
        <f>IFERROR(VLOOKUP($B67,商品台帳!$A$4:$N$502,3,FALSE),"")</f>
        <v/>
      </c>
      <c r="E67" s="8" t="str">
        <f>IFERROR(VLOOKUP($B67,商品台帳!$A$4:$N$502,4,FALSE),"")</f>
        <v/>
      </c>
      <c r="F67" s="8" t="str">
        <f>IFERROR(VLOOKUP($B67,商品台帳!$A$4:$N$502,5,FALSE),"")</f>
        <v/>
      </c>
      <c r="G67" s="8" t="str">
        <f>IFERROR(VLOOKUP($B67,商品台帳!$A$4:$N$502,6,FALSE),"")</f>
        <v/>
      </c>
      <c r="H67" s="8" t="str">
        <f>IFERROR(VLOOKUP($B67,商品台帳!$A$4:$N$502,7,FALSE),"")</f>
        <v/>
      </c>
      <c r="I67" s="8" t="str">
        <f>IFERROR(VLOOKUP($B67,商品台帳!$A$4:$N$502,8,FALSE),"")</f>
        <v/>
      </c>
      <c r="J67" s="8" t="str">
        <f>IFERROR(VLOOKUP($B67,商品台帳!$A$4:$N$502,9,FALSE),"")</f>
        <v/>
      </c>
      <c r="K67" s="8" t="str">
        <f>IFERROR(VLOOKUP($B67,商品台帳!$A$4:$N$502,10,FALSE),"")</f>
        <v/>
      </c>
      <c r="L67" s="8" t="str">
        <f>IFERROR(VLOOKUP($B67,商品台帳!$A$4:$N$502,11,FALSE),"")</f>
        <v/>
      </c>
      <c r="M67" s="8" t="str">
        <f>IFERROR(VLOOKUP($B67,商品台帳!$A$4:$N$502,12,FALSE),"")</f>
        <v/>
      </c>
      <c r="N67" s="8" t="str">
        <f>IFERROR(VLOOKUP($B67,商品台帳!$A$4:$N$502,13,FALSE),"")</f>
        <v/>
      </c>
      <c r="O67" s="8" t="str">
        <f>IFERROR(VLOOKUP($B67,商品台帳!$A$4:$N$502,14,FALSE),"")</f>
        <v/>
      </c>
    </row>
    <row r="68" spans="1:15">
      <c r="A68" s="17" t="s">
        <v>82</v>
      </c>
      <c r="B68" s="5"/>
      <c r="C68" s="8" t="str">
        <f>IFERROR(VLOOKUP($B68,商品台帳!$A$4:$N$502,2,FALSE),"")</f>
        <v/>
      </c>
      <c r="D68" s="8" t="str">
        <f>IFERROR(VLOOKUP($B68,商品台帳!$A$4:$N$502,3,FALSE),"")</f>
        <v/>
      </c>
      <c r="E68" s="8" t="str">
        <f>IFERROR(VLOOKUP($B68,商品台帳!$A$4:$N$502,4,FALSE),"")</f>
        <v/>
      </c>
      <c r="F68" s="8" t="str">
        <f>IFERROR(VLOOKUP($B68,商品台帳!$A$4:$N$502,5,FALSE),"")</f>
        <v/>
      </c>
      <c r="G68" s="8" t="str">
        <f>IFERROR(VLOOKUP($B68,商品台帳!$A$4:$N$502,6,FALSE),"")</f>
        <v/>
      </c>
      <c r="H68" s="8" t="str">
        <f>IFERROR(VLOOKUP($B68,商品台帳!$A$4:$N$502,7,FALSE),"")</f>
        <v/>
      </c>
      <c r="I68" s="8" t="str">
        <f>IFERROR(VLOOKUP($B68,商品台帳!$A$4:$N$502,8,FALSE),"")</f>
        <v/>
      </c>
      <c r="J68" s="8" t="str">
        <f>IFERROR(VLOOKUP($B68,商品台帳!$A$4:$N$502,9,FALSE),"")</f>
        <v/>
      </c>
      <c r="K68" s="8" t="str">
        <f>IFERROR(VLOOKUP($B68,商品台帳!$A$4:$N$502,10,FALSE),"")</f>
        <v/>
      </c>
      <c r="L68" s="8" t="str">
        <f>IFERROR(VLOOKUP($B68,商品台帳!$A$4:$N$502,11,FALSE),"")</f>
        <v/>
      </c>
      <c r="M68" s="8" t="str">
        <f>IFERROR(VLOOKUP($B68,商品台帳!$A$4:$N$502,12,FALSE),"")</f>
        <v/>
      </c>
      <c r="N68" s="8" t="str">
        <f>IFERROR(VLOOKUP($B68,商品台帳!$A$4:$N$502,13,FALSE),"")</f>
        <v/>
      </c>
      <c r="O68" s="8" t="str">
        <f>IFERROR(VLOOKUP($B68,商品台帳!$A$4:$N$502,14,FALSE),"")</f>
        <v/>
      </c>
    </row>
    <row r="69" spans="1:15">
      <c r="A69" s="17" t="s">
        <v>83</v>
      </c>
      <c r="B69" s="5"/>
      <c r="C69" s="8" t="str">
        <f>IFERROR(VLOOKUP($B69,商品台帳!$A$4:$N$502,2,FALSE),"")</f>
        <v/>
      </c>
      <c r="D69" s="8" t="str">
        <f>IFERROR(VLOOKUP($B69,商品台帳!$A$4:$N$502,3,FALSE),"")</f>
        <v/>
      </c>
      <c r="E69" s="8" t="str">
        <f>IFERROR(VLOOKUP($B69,商品台帳!$A$4:$N$502,4,FALSE),"")</f>
        <v/>
      </c>
      <c r="F69" s="8" t="str">
        <f>IFERROR(VLOOKUP($B69,商品台帳!$A$4:$N$502,5,FALSE),"")</f>
        <v/>
      </c>
      <c r="G69" s="8" t="str">
        <f>IFERROR(VLOOKUP($B69,商品台帳!$A$4:$N$502,6,FALSE),"")</f>
        <v/>
      </c>
      <c r="H69" s="8" t="str">
        <f>IFERROR(VLOOKUP($B69,商品台帳!$A$4:$N$502,7,FALSE),"")</f>
        <v/>
      </c>
      <c r="I69" s="8" t="str">
        <f>IFERROR(VLOOKUP($B69,商品台帳!$A$4:$N$502,8,FALSE),"")</f>
        <v/>
      </c>
      <c r="J69" s="8" t="str">
        <f>IFERROR(VLOOKUP($B69,商品台帳!$A$4:$N$502,9,FALSE),"")</f>
        <v/>
      </c>
      <c r="K69" s="8" t="str">
        <f>IFERROR(VLOOKUP($B69,商品台帳!$A$4:$N$502,10,FALSE),"")</f>
        <v/>
      </c>
      <c r="L69" s="8" t="str">
        <f>IFERROR(VLOOKUP($B69,商品台帳!$A$4:$N$502,11,FALSE),"")</f>
        <v/>
      </c>
      <c r="M69" s="8" t="str">
        <f>IFERROR(VLOOKUP($B69,商品台帳!$A$4:$N$502,12,FALSE),"")</f>
        <v/>
      </c>
      <c r="N69" s="8" t="str">
        <f>IFERROR(VLOOKUP($B69,商品台帳!$A$4:$N$502,13,FALSE),"")</f>
        <v/>
      </c>
      <c r="O69" s="8" t="str">
        <f>IFERROR(VLOOKUP($B69,商品台帳!$A$4:$N$502,14,FALSE),"")</f>
        <v/>
      </c>
    </row>
    <row r="70" spans="1:15">
      <c r="A70" s="17" t="s">
        <v>84</v>
      </c>
      <c r="B70" s="5"/>
      <c r="C70" s="8" t="str">
        <f>IFERROR(VLOOKUP($B70,商品台帳!$A$4:$N$502,2,FALSE),"")</f>
        <v/>
      </c>
      <c r="D70" s="8" t="str">
        <f>IFERROR(VLOOKUP($B70,商品台帳!$A$4:$N$502,3,FALSE),"")</f>
        <v/>
      </c>
      <c r="E70" s="8" t="str">
        <f>IFERROR(VLOOKUP($B70,商品台帳!$A$4:$N$502,4,FALSE),"")</f>
        <v/>
      </c>
      <c r="F70" s="8" t="str">
        <f>IFERROR(VLOOKUP($B70,商品台帳!$A$4:$N$502,5,FALSE),"")</f>
        <v/>
      </c>
      <c r="G70" s="8" t="str">
        <f>IFERROR(VLOOKUP($B70,商品台帳!$A$4:$N$502,6,FALSE),"")</f>
        <v/>
      </c>
      <c r="H70" s="8" t="str">
        <f>IFERROR(VLOOKUP($B70,商品台帳!$A$4:$N$502,7,FALSE),"")</f>
        <v/>
      </c>
      <c r="I70" s="8" t="str">
        <f>IFERROR(VLOOKUP($B70,商品台帳!$A$4:$N$502,8,FALSE),"")</f>
        <v/>
      </c>
      <c r="J70" s="8" t="str">
        <f>IFERROR(VLOOKUP($B70,商品台帳!$A$4:$N$502,9,FALSE),"")</f>
        <v/>
      </c>
      <c r="K70" s="8" t="str">
        <f>IFERROR(VLOOKUP($B70,商品台帳!$A$4:$N$502,10,FALSE),"")</f>
        <v/>
      </c>
      <c r="L70" s="8" t="str">
        <f>IFERROR(VLOOKUP($B70,商品台帳!$A$4:$N$502,11,FALSE),"")</f>
        <v/>
      </c>
      <c r="M70" s="8" t="str">
        <f>IFERROR(VLOOKUP($B70,商品台帳!$A$4:$N$502,12,FALSE),"")</f>
        <v/>
      </c>
      <c r="N70" s="8" t="str">
        <f>IFERROR(VLOOKUP($B70,商品台帳!$A$4:$N$502,13,FALSE),"")</f>
        <v/>
      </c>
      <c r="O70" s="8" t="str">
        <f>IFERROR(VLOOKUP($B70,商品台帳!$A$4:$N$502,14,FALSE),"")</f>
        <v/>
      </c>
    </row>
    <row r="71" spans="1:15">
      <c r="A71" s="17" t="s">
        <v>85</v>
      </c>
      <c r="B71" s="5"/>
      <c r="C71" s="8" t="str">
        <f>IFERROR(VLOOKUP($B71,商品台帳!$A$4:$N$502,2,FALSE),"")</f>
        <v/>
      </c>
      <c r="D71" s="8" t="str">
        <f>IFERROR(VLOOKUP($B71,商品台帳!$A$4:$N$502,3,FALSE),"")</f>
        <v/>
      </c>
      <c r="E71" s="8" t="str">
        <f>IFERROR(VLOOKUP($B71,商品台帳!$A$4:$N$502,4,FALSE),"")</f>
        <v/>
      </c>
      <c r="F71" s="8" t="str">
        <f>IFERROR(VLOOKUP($B71,商品台帳!$A$4:$N$502,5,FALSE),"")</f>
        <v/>
      </c>
      <c r="G71" s="8" t="str">
        <f>IFERROR(VLOOKUP($B71,商品台帳!$A$4:$N$502,6,FALSE),"")</f>
        <v/>
      </c>
      <c r="H71" s="8" t="str">
        <f>IFERROR(VLOOKUP($B71,商品台帳!$A$4:$N$502,7,FALSE),"")</f>
        <v/>
      </c>
      <c r="I71" s="8" t="str">
        <f>IFERROR(VLOOKUP($B71,商品台帳!$A$4:$N$502,8,FALSE),"")</f>
        <v/>
      </c>
      <c r="J71" s="8" t="str">
        <f>IFERROR(VLOOKUP($B71,商品台帳!$A$4:$N$502,9,FALSE),"")</f>
        <v/>
      </c>
      <c r="K71" s="8" t="str">
        <f>IFERROR(VLOOKUP($B71,商品台帳!$A$4:$N$502,10,FALSE),"")</f>
        <v/>
      </c>
      <c r="L71" s="8" t="str">
        <f>IFERROR(VLOOKUP($B71,商品台帳!$A$4:$N$502,11,FALSE),"")</f>
        <v/>
      </c>
      <c r="M71" s="8" t="str">
        <f>IFERROR(VLOOKUP($B71,商品台帳!$A$4:$N$502,12,FALSE),"")</f>
        <v/>
      </c>
      <c r="N71" s="8" t="str">
        <f>IFERROR(VLOOKUP($B71,商品台帳!$A$4:$N$502,13,FALSE),"")</f>
        <v/>
      </c>
      <c r="O71" s="8" t="str">
        <f>IFERROR(VLOOKUP($B71,商品台帳!$A$4:$N$502,14,FALSE),"")</f>
        <v/>
      </c>
    </row>
    <row r="72" spans="1:15">
      <c r="A72" s="17" t="s">
        <v>86</v>
      </c>
      <c r="B72" s="5"/>
      <c r="C72" s="8" t="str">
        <f>IFERROR(VLOOKUP($B72,商品台帳!$A$4:$N$502,2,FALSE),"")</f>
        <v/>
      </c>
      <c r="D72" s="8" t="str">
        <f>IFERROR(VLOOKUP($B72,商品台帳!$A$4:$N$502,3,FALSE),"")</f>
        <v/>
      </c>
      <c r="E72" s="8" t="str">
        <f>IFERROR(VLOOKUP($B72,商品台帳!$A$4:$N$502,4,FALSE),"")</f>
        <v/>
      </c>
      <c r="F72" s="8" t="str">
        <f>IFERROR(VLOOKUP($B72,商品台帳!$A$4:$N$502,5,FALSE),"")</f>
        <v/>
      </c>
      <c r="G72" s="8" t="str">
        <f>IFERROR(VLOOKUP($B72,商品台帳!$A$4:$N$502,6,FALSE),"")</f>
        <v/>
      </c>
      <c r="H72" s="8" t="str">
        <f>IFERROR(VLOOKUP($B72,商品台帳!$A$4:$N$502,7,FALSE),"")</f>
        <v/>
      </c>
      <c r="I72" s="8" t="str">
        <f>IFERROR(VLOOKUP($B72,商品台帳!$A$4:$N$502,8,FALSE),"")</f>
        <v/>
      </c>
      <c r="J72" s="8" t="str">
        <f>IFERROR(VLOOKUP($B72,商品台帳!$A$4:$N$502,9,FALSE),"")</f>
        <v/>
      </c>
      <c r="K72" s="8" t="str">
        <f>IFERROR(VLOOKUP($B72,商品台帳!$A$4:$N$502,10,FALSE),"")</f>
        <v/>
      </c>
      <c r="L72" s="8" t="str">
        <f>IFERROR(VLOOKUP($B72,商品台帳!$A$4:$N$502,11,FALSE),"")</f>
        <v/>
      </c>
      <c r="M72" s="8" t="str">
        <f>IFERROR(VLOOKUP($B72,商品台帳!$A$4:$N$502,12,FALSE),"")</f>
        <v/>
      </c>
      <c r="N72" s="8" t="str">
        <f>IFERROR(VLOOKUP($B72,商品台帳!$A$4:$N$502,13,FALSE),"")</f>
        <v/>
      </c>
      <c r="O72" s="8" t="str">
        <f>IFERROR(VLOOKUP($B72,商品台帳!$A$4:$N$502,14,FALSE),"")</f>
        <v/>
      </c>
    </row>
    <row r="73" spans="1:15">
      <c r="A73" s="17" t="s">
        <v>87</v>
      </c>
      <c r="B73" s="5"/>
      <c r="C73" s="8" t="str">
        <f>IFERROR(VLOOKUP($B73,商品台帳!$A$4:$N$502,2,FALSE),"")</f>
        <v/>
      </c>
      <c r="D73" s="8" t="str">
        <f>IFERROR(VLOOKUP($B73,商品台帳!$A$4:$N$502,3,FALSE),"")</f>
        <v/>
      </c>
      <c r="E73" s="8" t="str">
        <f>IFERROR(VLOOKUP($B73,商品台帳!$A$4:$N$502,4,FALSE),"")</f>
        <v/>
      </c>
      <c r="F73" s="8" t="str">
        <f>IFERROR(VLOOKUP($B73,商品台帳!$A$4:$N$502,5,FALSE),"")</f>
        <v/>
      </c>
      <c r="G73" s="8" t="str">
        <f>IFERROR(VLOOKUP($B73,商品台帳!$A$4:$N$502,6,FALSE),"")</f>
        <v/>
      </c>
      <c r="H73" s="8" t="str">
        <f>IFERROR(VLOOKUP($B73,商品台帳!$A$4:$N$502,7,FALSE),"")</f>
        <v/>
      </c>
      <c r="I73" s="8" t="str">
        <f>IFERROR(VLOOKUP($B73,商品台帳!$A$4:$N$502,8,FALSE),"")</f>
        <v/>
      </c>
      <c r="J73" s="8" t="str">
        <f>IFERROR(VLOOKUP($B73,商品台帳!$A$4:$N$502,9,FALSE),"")</f>
        <v/>
      </c>
      <c r="K73" s="8" t="str">
        <f>IFERROR(VLOOKUP($B73,商品台帳!$A$4:$N$502,10,FALSE),"")</f>
        <v/>
      </c>
      <c r="L73" s="8" t="str">
        <f>IFERROR(VLOOKUP($B73,商品台帳!$A$4:$N$502,11,FALSE),"")</f>
        <v/>
      </c>
      <c r="M73" s="8" t="str">
        <f>IFERROR(VLOOKUP($B73,商品台帳!$A$4:$N$502,12,FALSE),"")</f>
        <v/>
      </c>
      <c r="N73" s="8" t="str">
        <f>IFERROR(VLOOKUP($B73,商品台帳!$A$4:$N$502,13,FALSE),"")</f>
        <v/>
      </c>
      <c r="O73" s="8" t="str">
        <f>IFERROR(VLOOKUP($B73,商品台帳!$A$4:$N$502,14,FALSE),"")</f>
        <v/>
      </c>
    </row>
    <row r="74" spans="1:15">
      <c r="A74" s="17" t="s">
        <v>88</v>
      </c>
      <c r="B74" s="5"/>
      <c r="C74" s="8" t="str">
        <f>IFERROR(VLOOKUP($B74,商品台帳!$A$4:$N$502,2,FALSE),"")</f>
        <v/>
      </c>
      <c r="D74" s="8" t="str">
        <f>IFERROR(VLOOKUP($B74,商品台帳!$A$4:$N$502,3,FALSE),"")</f>
        <v/>
      </c>
      <c r="E74" s="8" t="str">
        <f>IFERROR(VLOOKUP($B74,商品台帳!$A$4:$N$502,4,FALSE),"")</f>
        <v/>
      </c>
      <c r="F74" s="8" t="str">
        <f>IFERROR(VLOOKUP($B74,商品台帳!$A$4:$N$502,5,FALSE),"")</f>
        <v/>
      </c>
      <c r="G74" s="8" t="str">
        <f>IFERROR(VLOOKUP($B74,商品台帳!$A$4:$N$502,6,FALSE),"")</f>
        <v/>
      </c>
      <c r="H74" s="8" t="str">
        <f>IFERROR(VLOOKUP($B74,商品台帳!$A$4:$N$502,7,FALSE),"")</f>
        <v/>
      </c>
      <c r="I74" s="8" t="str">
        <f>IFERROR(VLOOKUP($B74,商品台帳!$A$4:$N$502,8,FALSE),"")</f>
        <v/>
      </c>
      <c r="J74" s="8" t="str">
        <f>IFERROR(VLOOKUP($B74,商品台帳!$A$4:$N$502,9,FALSE),"")</f>
        <v/>
      </c>
      <c r="K74" s="8" t="str">
        <f>IFERROR(VLOOKUP($B74,商品台帳!$A$4:$N$502,10,FALSE),"")</f>
        <v/>
      </c>
      <c r="L74" s="8" t="str">
        <f>IFERROR(VLOOKUP($B74,商品台帳!$A$4:$N$502,11,FALSE),"")</f>
        <v/>
      </c>
      <c r="M74" s="8" t="str">
        <f>IFERROR(VLOOKUP($B74,商品台帳!$A$4:$N$502,12,FALSE),"")</f>
        <v/>
      </c>
      <c r="N74" s="8" t="str">
        <f>IFERROR(VLOOKUP($B74,商品台帳!$A$4:$N$502,13,FALSE),"")</f>
        <v/>
      </c>
      <c r="O74" s="8" t="str">
        <f>IFERROR(VLOOKUP($B74,商品台帳!$A$4:$N$502,14,FALSE),"")</f>
        <v/>
      </c>
    </row>
    <row r="75" spans="1:15">
      <c r="A75" s="17" t="s">
        <v>89</v>
      </c>
      <c r="B75" s="5"/>
      <c r="C75" s="8" t="str">
        <f>IFERROR(VLOOKUP($B75,商品台帳!$A$4:$N$502,2,FALSE),"")</f>
        <v/>
      </c>
      <c r="D75" s="8" t="str">
        <f>IFERROR(VLOOKUP($B75,商品台帳!$A$4:$N$502,3,FALSE),"")</f>
        <v/>
      </c>
      <c r="E75" s="8" t="str">
        <f>IFERROR(VLOOKUP($B75,商品台帳!$A$4:$N$502,4,FALSE),"")</f>
        <v/>
      </c>
      <c r="F75" s="8" t="str">
        <f>IFERROR(VLOOKUP($B75,商品台帳!$A$4:$N$502,5,FALSE),"")</f>
        <v/>
      </c>
      <c r="G75" s="8" t="str">
        <f>IFERROR(VLOOKUP($B75,商品台帳!$A$4:$N$502,6,FALSE),"")</f>
        <v/>
      </c>
      <c r="H75" s="8" t="str">
        <f>IFERROR(VLOOKUP($B75,商品台帳!$A$4:$N$502,7,FALSE),"")</f>
        <v/>
      </c>
      <c r="I75" s="8" t="str">
        <f>IFERROR(VLOOKUP($B75,商品台帳!$A$4:$N$502,8,FALSE),"")</f>
        <v/>
      </c>
      <c r="J75" s="8" t="str">
        <f>IFERROR(VLOOKUP($B75,商品台帳!$A$4:$N$502,9,FALSE),"")</f>
        <v/>
      </c>
      <c r="K75" s="8" t="str">
        <f>IFERROR(VLOOKUP($B75,商品台帳!$A$4:$N$502,10,FALSE),"")</f>
        <v/>
      </c>
      <c r="L75" s="8" t="str">
        <f>IFERROR(VLOOKUP($B75,商品台帳!$A$4:$N$502,11,FALSE),"")</f>
        <v/>
      </c>
      <c r="M75" s="8" t="str">
        <f>IFERROR(VLOOKUP($B75,商品台帳!$A$4:$N$502,12,FALSE),"")</f>
        <v/>
      </c>
      <c r="N75" s="8" t="str">
        <f>IFERROR(VLOOKUP($B75,商品台帳!$A$4:$N$502,13,FALSE),"")</f>
        <v/>
      </c>
      <c r="O75" s="8" t="str">
        <f>IFERROR(VLOOKUP($B75,商品台帳!$A$4:$N$502,14,FALSE),"")</f>
        <v/>
      </c>
    </row>
    <row r="76" spans="1:15">
      <c r="A76" s="17" t="s">
        <v>90</v>
      </c>
      <c r="B76" s="5"/>
      <c r="C76" s="8" t="str">
        <f>IFERROR(VLOOKUP($B76,商品台帳!$A$4:$N$502,2,FALSE),"")</f>
        <v/>
      </c>
      <c r="D76" s="8" t="str">
        <f>IFERROR(VLOOKUP($B76,商品台帳!$A$4:$N$502,3,FALSE),"")</f>
        <v/>
      </c>
      <c r="E76" s="8" t="str">
        <f>IFERROR(VLOOKUP($B76,商品台帳!$A$4:$N$502,4,FALSE),"")</f>
        <v/>
      </c>
      <c r="F76" s="8" t="str">
        <f>IFERROR(VLOOKUP($B76,商品台帳!$A$4:$N$502,5,FALSE),"")</f>
        <v/>
      </c>
      <c r="G76" s="8" t="str">
        <f>IFERROR(VLOOKUP($B76,商品台帳!$A$4:$N$502,6,FALSE),"")</f>
        <v/>
      </c>
      <c r="H76" s="8" t="str">
        <f>IFERROR(VLOOKUP($B76,商品台帳!$A$4:$N$502,7,FALSE),"")</f>
        <v/>
      </c>
      <c r="I76" s="8" t="str">
        <f>IFERROR(VLOOKUP($B76,商品台帳!$A$4:$N$502,8,FALSE),"")</f>
        <v/>
      </c>
      <c r="J76" s="8" t="str">
        <f>IFERROR(VLOOKUP($B76,商品台帳!$A$4:$N$502,9,FALSE),"")</f>
        <v/>
      </c>
      <c r="K76" s="8" t="str">
        <f>IFERROR(VLOOKUP($B76,商品台帳!$A$4:$N$502,10,FALSE),"")</f>
        <v/>
      </c>
      <c r="L76" s="8" t="str">
        <f>IFERROR(VLOOKUP($B76,商品台帳!$A$4:$N$502,11,FALSE),"")</f>
        <v/>
      </c>
      <c r="M76" s="8" t="str">
        <f>IFERROR(VLOOKUP($B76,商品台帳!$A$4:$N$502,12,FALSE),"")</f>
        <v/>
      </c>
      <c r="N76" s="8" t="str">
        <f>IFERROR(VLOOKUP($B76,商品台帳!$A$4:$N$502,13,FALSE),"")</f>
        <v/>
      </c>
      <c r="O76" s="8" t="str">
        <f>IFERROR(VLOOKUP($B76,商品台帳!$A$4:$N$502,14,FALSE),"")</f>
        <v/>
      </c>
    </row>
    <row r="77" spans="1:15">
      <c r="A77" s="17" t="s">
        <v>91</v>
      </c>
      <c r="B77" s="5"/>
      <c r="C77" s="8" t="str">
        <f>IFERROR(VLOOKUP($B77,商品台帳!$A$4:$N$502,2,FALSE),"")</f>
        <v/>
      </c>
      <c r="D77" s="8" t="str">
        <f>IFERROR(VLOOKUP($B77,商品台帳!$A$4:$N$502,3,FALSE),"")</f>
        <v/>
      </c>
      <c r="E77" s="8" t="str">
        <f>IFERROR(VLOOKUP($B77,商品台帳!$A$4:$N$502,4,FALSE),"")</f>
        <v/>
      </c>
      <c r="F77" s="8" t="str">
        <f>IFERROR(VLOOKUP($B77,商品台帳!$A$4:$N$502,5,FALSE),"")</f>
        <v/>
      </c>
      <c r="G77" s="8" t="str">
        <f>IFERROR(VLOOKUP($B77,商品台帳!$A$4:$N$502,6,FALSE),"")</f>
        <v/>
      </c>
      <c r="H77" s="8" t="str">
        <f>IFERROR(VLOOKUP($B77,商品台帳!$A$4:$N$502,7,FALSE),"")</f>
        <v/>
      </c>
      <c r="I77" s="8" t="str">
        <f>IFERROR(VLOOKUP($B77,商品台帳!$A$4:$N$502,8,FALSE),"")</f>
        <v/>
      </c>
      <c r="J77" s="8" t="str">
        <f>IFERROR(VLOOKUP($B77,商品台帳!$A$4:$N$502,9,FALSE),"")</f>
        <v/>
      </c>
      <c r="K77" s="8" t="str">
        <f>IFERROR(VLOOKUP($B77,商品台帳!$A$4:$N$502,10,FALSE),"")</f>
        <v/>
      </c>
      <c r="L77" s="8" t="str">
        <f>IFERROR(VLOOKUP($B77,商品台帳!$A$4:$N$502,11,FALSE),"")</f>
        <v/>
      </c>
      <c r="M77" s="8" t="str">
        <f>IFERROR(VLOOKUP($B77,商品台帳!$A$4:$N$502,12,FALSE),"")</f>
        <v/>
      </c>
      <c r="N77" s="8" t="str">
        <f>IFERROR(VLOOKUP($B77,商品台帳!$A$4:$N$502,13,FALSE),"")</f>
        <v/>
      </c>
      <c r="O77" s="8" t="str">
        <f>IFERROR(VLOOKUP($B77,商品台帳!$A$4:$N$502,14,FALSE),"")</f>
        <v/>
      </c>
    </row>
    <row r="78" spans="1:15">
      <c r="A78" s="17" t="s">
        <v>92</v>
      </c>
      <c r="B78" s="5"/>
      <c r="C78" s="8" t="str">
        <f>IFERROR(VLOOKUP($B78,商品台帳!$A$4:$N$502,2,FALSE),"")</f>
        <v/>
      </c>
      <c r="D78" s="8" t="str">
        <f>IFERROR(VLOOKUP($B78,商品台帳!$A$4:$N$502,3,FALSE),"")</f>
        <v/>
      </c>
      <c r="E78" s="8" t="str">
        <f>IFERROR(VLOOKUP($B78,商品台帳!$A$4:$N$502,4,FALSE),"")</f>
        <v/>
      </c>
      <c r="F78" s="8" t="str">
        <f>IFERROR(VLOOKUP($B78,商品台帳!$A$4:$N$502,5,FALSE),"")</f>
        <v/>
      </c>
      <c r="G78" s="8" t="str">
        <f>IFERROR(VLOOKUP($B78,商品台帳!$A$4:$N$502,6,FALSE),"")</f>
        <v/>
      </c>
      <c r="H78" s="8" t="str">
        <f>IFERROR(VLOOKUP($B78,商品台帳!$A$4:$N$502,7,FALSE),"")</f>
        <v/>
      </c>
      <c r="I78" s="8" t="str">
        <f>IFERROR(VLOOKUP($B78,商品台帳!$A$4:$N$502,8,FALSE),"")</f>
        <v/>
      </c>
      <c r="J78" s="8" t="str">
        <f>IFERROR(VLOOKUP($B78,商品台帳!$A$4:$N$502,9,FALSE),"")</f>
        <v/>
      </c>
      <c r="K78" s="8" t="str">
        <f>IFERROR(VLOOKUP($B78,商品台帳!$A$4:$N$502,10,FALSE),"")</f>
        <v/>
      </c>
      <c r="L78" s="8" t="str">
        <f>IFERROR(VLOOKUP($B78,商品台帳!$A$4:$N$502,11,FALSE),"")</f>
        <v/>
      </c>
      <c r="M78" s="8" t="str">
        <f>IFERROR(VLOOKUP($B78,商品台帳!$A$4:$N$502,12,FALSE),"")</f>
        <v/>
      </c>
      <c r="N78" s="8" t="str">
        <f>IFERROR(VLOOKUP($B78,商品台帳!$A$4:$N$502,13,FALSE),"")</f>
        <v/>
      </c>
      <c r="O78" s="8" t="str">
        <f>IFERROR(VLOOKUP($B78,商品台帳!$A$4:$N$502,14,FALSE),"")</f>
        <v/>
      </c>
    </row>
    <row r="79" spans="1:15">
      <c r="A79" s="17" t="s">
        <v>93</v>
      </c>
      <c r="B79" s="5"/>
      <c r="C79" s="8" t="str">
        <f>IFERROR(VLOOKUP($B79,商品台帳!$A$4:$N$502,2,FALSE),"")</f>
        <v/>
      </c>
      <c r="D79" s="8" t="str">
        <f>IFERROR(VLOOKUP($B79,商品台帳!$A$4:$N$502,3,FALSE),"")</f>
        <v/>
      </c>
      <c r="E79" s="8" t="str">
        <f>IFERROR(VLOOKUP($B79,商品台帳!$A$4:$N$502,4,FALSE),"")</f>
        <v/>
      </c>
      <c r="F79" s="8" t="str">
        <f>IFERROR(VLOOKUP($B79,商品台帳!$A$4:$N$502,5,FALSE),"")</f>
        <v/>
      </c>
      <c r="G79" s="8" t="str">
        <f>IFERROR(VLOOKUP($B79,商品台帳!$A$4:$N$502,6,FALSE),"")</f>
        <v/>
      </c>
      <c r="H79" s="8" t="str">
        <f>IFERROR(VLOOKUP($B79,商品台帳!$A$4:$N$502,7,FALSE),"")</f>
        <v/>
      </c>
      <c r="I79" s="8" t="str">
        <f>IFERROR(VLOOKUP($B79,商品台帳!$A$4:$N$502,8,FALSE),"")</f>
        <v/>
      </c>
      <c r="J79" s="8" t="str">
        <f>IFERROR(VLOOKUP($B79,商品台帳!$A$4:$N$502,9,FALSE),"")</f>
        <v/>
      </c>
      <c r="K79" s="8" t="str">
        <f>IFERROR(VLOOKUP($B79,商品台帳!$A$4:$N$502,10,FALSE),"")</f>
        <v/>
      </c>
      <c r="L79" s="8" t="str">
        <f>IFERROR(VLOOKUP($B79,商品台帳!$A$4:$N$502,11,FALSE),"")</f>
        <v/>
      </c>
      <c r="M79" s="8" t="str">
        <f>IFERROR(VLOOKUP($B79,商品台帳!$A$4:$N$502,12,FALSE),"")</f>
        <v/>
      </c>
      <c r="N79" s="8" t="str">
        <f>IFERROR(VLOOKUP($B79,商品台帳!$A$4:$N$502,13,FALSE),"")</f>
        <v/>
      </c>
      <c r="O79" s="8" t="str">
        <f>IFERROR(VLOOKUP($B79,商品台帳!$A$4:$N$502,14,FALSE),"")</f>
        <v/>
      </c>
    </row>
    <row r="80" spans="1:15">
      <c r="A80" s="17" t="s">
        <v>94</v>
      </c>
      <c r="B80" s="5"/>
      <c r="C80" s="8" t="str">
        <f>IFERROR(VLOOKUP($B80,商品台帳!$A$4:$N$502,2,FALSE),"")</f>
        <v/>
      </c>
      <c r="D80" s="8" t="str">
        <f>IFERROR(VLOOKUP($B80,商品台帳!$A$4:$N$502,3,FALSE),"")</f>
        <v/>
      </c>
      <c r="E80" s="8" t="str">
        <f>IFERROR(VLOOKUP($B80,商品台帳!$A$4:$N$502,4,FALSE),"")</f>
        <v/>
      </c>
      <c r="F80" s="8" t="str">
        <f>IFERROR(VLOOKUP($B80,商品台帳!$A$4:$N$502,5,FALSE),"")</f>
        <v/>
      </c>
      <c r="G80" s="8" t="str">
        <f>IFERROR(VLOOKUP($B80,商品台帳!$A$4:$N$502,6,FALSE),"")</f>
        <v/>
      </c>
      <c r="H80" s="8" t="str">
        <f>IFERROR(VLOOKUP($B80,商品台帳!$A$4:$N$502,7,FALSE),"")</f>
        <v/>
      </c>
      <c r="I80" s="8" t="str">
        <f>IFERROR(VLOOKUP($B80,商品台帳!$A$4:$N$502,8,FALSE),"")</f>
        <v/>
      </c>
      <c r="J80" s="8" t="str">
        <f>IFERROR(VLOOKUP($B80,商品台帳!$A$4:$N$502,9,FALSE),"")</f>
        <v/>
      </c>
      <c r="K80" s="8" t="str">
        <f>IFERROR(VLOOKUP($B80,商品台帳!$A$4:$N$502,10,FALSE),"")</f>
        <v/>
      </c>
      <c r="L80" s="8" t="str">
        <f>IFERROR(VLOOKUP($B80,商品台帳!$A$4:$N$502,11,FALSE),"")</f>
        <v/>
      </c>
      <c r="M80" s="8" t="str">
        <f>IFERROR(VLOOKUP($B80,商品台帳!$A$4:$N$502,12,FALSE),"")</f>
        <v/>
      </c>
      <c r="N80" s="8" t="str">
        <f>IFERROR(VLOOKUP($B80,商品台帳!$A$4:$N$502,13,FALSE),"")</f>
        <v/>
      </c>
      <c r="O80" s="8" t="str">
        <f>IFERROR(VLOOKUP($B80,商品台帳!$A$4:$N$502,14,FALSE),"")</f>
        <v/>
      </c>
    </row>
    <row r="81" spans="1:15">
      <c r="A81" s="17" t="s">
        <v>95</v>
      </c>
      <c r="B81" s="5"/>
      <c r="C81" s="8" t="str">
        <f>IFERROR(VLOOKUP($B81,商品台帳!$A$4:$N$502,2,FALSE),"")</f>
        <v/>
      </c>
      <c r="D81" s="8" t="str">
        <f>IFERROR(VLOOKUP($B81,商品台帳!$A$4:$N$502,3,FALSE),"")</f>
        <v/>
      </c>
      <c r="E81" s="8" t="str">
        <f>IFERROR(VLOOKUP($B81,商品台帳!$A$4:$N$502,4,FALSE),"")</f>
        <v/>
      </c>
      <c r="F81" s="8" t="str">
        <f>IFERROR(VLOOKUP($B81,商品台帳!$A$4:$N$502,5,FALSE),"")</f>
        <v/>
      </c>
      <c r="G81" s="8" t="str">
        <f>IFERROR(VLOOKUP($B81,商品台帳!$A$4:$N$502,6,FALSE),"")</f>
        <v/>
      </c>
      <c r="H81" s="8" t="str">
        <f>IFERROR(VLOOKUP($B81,商品台帳!$A$4:$N$502,7,FALSE),"")</f>
        <v/>
      </c>
      <c r="I81" s="8" t="str">
        <f>IFERROR(VLOOKUP($B81,商品台帳!$A$4:$N$502,8,FALSE),"")</f>
        <v/>
      </c>
      <c r="J81" s="8" t="str">
        <f>IFERROR(VLOOKUP($B81,商品台帳!$A$4:$N$502,9,FALSE),"")</f>
        <v/>
      </c>
      <c r="K81" s="8" t="str">
        <f>IFERROR(VLOOKUP($B81,商品台帳!$A$4:$N$502,10,FALSE),"")</f>
        <v/>
      </c>
      <c r="L81" s="8" t="str">
        <f>IFERROR(VLOOKUP($B81,商品台帳!$A$4:$N$502,11,FALSE),"")</f>
        <v/>
      </c>
      <c r="M81" s="8" t="str">
        <f>IFERROR(VLOOKUP($B81,商品台帳!$A$4:$N$502,12,FALSE),"")</f>
        <v/>
      </c>
      <c r="N81" s="8" t="str">
        <f>IFERROR(VLOOKUP($B81,商品台帳!$A$4:$N$502,13,FALSE),"")</f>
        <v/>
      </c>
      <c r="O81" s="8" t="str">
        <f>IFERROR(VLOOKUP($B81,商品台帳!$A$4:$N$502,14,FALSE),"")</f>
        <v/>
      </c>
    </row>
    <row r="82" spans="1:15">
      <c r="A82" s="17" t="s">
        <v>96</v>
      </c>
      <c r="B82" s="5"/>
      <c r="C82" s="8" t="str">
        <f>IFERROR(VLOOKUP($B82,商品台帳!$A$4:$N$502,2,FALSE),"")</f>
        <v/>
      </c>
      <c r="D82" s="8" t="str">
        <f>IFERROR(VLOOKUP($B82,商品台帳!$A$4:$N$502,3,FALSE),"")</f>
        <v/>
      </c>
      <c r="E82" s="8" t="str">
        <f>IFERROR(VLOOKUP($B82,商品台帳!$A$4:$N$502,4,FALSE),"")</f>
        <v/>
      </c>
      <c r="F82" s="8" t="str">
        <f>IFERROR(VLOOKUP($B82,商品台帳!$A$4:$N$502,5,FALSE),"")</f>
        <v/>
      </c>
      <c r="G82" s="8" t="str">
        <f>IFERROR(VLOOKUP($B82,商品台帳!$A$4:$N$502,6,FALSE),"")</f>
        <v/>
      </c>
      <c r="H82" s="8" t="str">
        <f>IFERROR(VLOOKUP($B82,商品台帳!$A$4:$N$502,7,FALSE),"")</f>
        <v/>
      </c>
      <c r="I82" s="8" t="str">
        <f>IFERROR(VLOOKUP($B82,商品台帳!$A$4:$N$502,8,FALSE),"")</f>
        <v/>
      </c>
      <c r="J82" s="8" t="str">
        <f>IFERROR(VLOOKUP($B82,商品台帳!$A$4:$N$502,9,FALSE),"")</f>
        <v/>
      </c>
      <c r="K82" s="8" t="str">
        <f>IFERROR(VLOOKUP($B82,商品台帳!$A$4:$N$502,10,FALSE),"")</f>
        <v/>
      </c>
      <c r="L82" s="8" t="str">
        <f>IFERROR(VLOOKUP($B82,商品台帳!$A$4:$N$502,11,FALSE),"")</f>
        <v/>
      </c>
      <c r="M82" s="8" t="str">
        <f>IFERROR(VLOOKUP($B82,商品台帳!$A$4:$N$502,12,FALSE),"")</f>
        <v/>
      </c>
      <c r="N82" s="8" t="str">
        <f>IFERROR(VLOOKUP($B82,商品台帳!$A$4:$N$502,13,FALSE),"")</f>
        <v/>
      </c>
      <c r="O82" s="8" t="str">
        <f>IFERROR(VLOOKUP($B82,商品台帳!$A$4:$N$502,14,FALSE),"")</f>
        <v/>
      </c>
    </row>
    <row r="83" spans="1:15">
      <c r="A83" s="17" t="s">
        <v>97</v>
      </c>
      <c r="B83" s="5"/>
      <c r="C83" s="8" t="str">
        <f>IFERROR(VLOOKUP($B83,商品台帳!$A$4:$N$502,2,FALSE),"")</f>
        <v/>
      </c>
      <c r="D83" s="8" t="str">
        <f>IFERROR(VLOOKUP($B83,商品台帳!$A$4:$N$502,3,FALSE),"")</f>
        <v/>
      </c>
      <c r="E83" s="8" t="str">
        <f>IFERROR(VLOOKUP($B83,商品台帳!$A$4:$N$502,4,FALSE),"")</f>
        <v/>
      </c>
      <c r="F83" s="8" t="str">
        <f>IFERROR(VLOOKUP($B83,商品台帳!$A$4:$N$502,5,FALSE),"")</f>
        <v/>
      </c>
      <c r="G83" s="8" t="str">
        <f>IFERROR(VLOOKUP($B83,商品台帳!$A$4:$N$502,6,FALSE),"")</f>
        <v/>
      </c>
      <c r="H83" s="8" t="str">
        <f>IFERROR(VLOOKUP($B83,商品台帳!$A$4:$N$502,7,FALSE),"")</f>
        <v/>
      </c>
      <c r="I83" s="8" t="str">
        <f>IFERROR(VLOOKUP($B83,商品台帳!$A$4:$N$502,8,FALSE),"")</f>
        <v/>
      </c>
      <c r="J83" s="8" t="str">
        <f>IFERROR(VLOOKUP($B83,商品台帳!$A$4:$N$502,9,FALSE),"")</f>
        <v/>
      </c>
      <c r="K83" s="8" t="str">
        <f>IFERROR(VLOOKUP($B83,商品台帳!$A$4:$N$502,10,FALSE),"")</f>
        <v/>
      </c>
      <c r="L83" s="8" t="str">
        <f>IFERROR(VLOOKUP($B83,商品台帳!$A$4:$N$502,11,FALSE),"")</f>
        <v/>
      </c>
      <c r="M83" s="8" t="str">
        <f>IFERROR(VLOOKUP($B83,商品台帳!$A$4:$N$502,12,FALSE),"")</f>
        <v/>
      </c>
      <c r="N83" s="8" t="str">
        <f>IFERROR(VLOOKUP($B83,商品台帳!$A$4:$N$502,13,FALSE),"")</f>
        <v/>
      </c>
      <c r="O83" s="8" t="str">
        <f>IFERROR(VLOOKUP($B83,商品台帳!$A$4:$N$502,14,FALSE),"")</f>
        <v/>
      </c>
    </row>
    <row r="84" spans="1:15">
      <c r="A84" s="17" t="s">
        <v>98</v>
      </c>
      <c r="B84" s="5"/>
      <c r="C84" s="8" t="str">
        <f>IFERROR(VLOOKUP($B84,商品台帳!$A$4:$N$502,2,FALSE),"")</f>
        <v/>
      </c>
      <c r="D84" s="8" t="str">
        <f>IFERROR(VLOOKUP($B84,商品台帳!$A$4:$N$502,3,FALSE),"")</f>
        <v/>
      </c>
      <c r="E84" s="8" t="str">
        <f>IFERROR(VLOOKUP($B84,商品台帳!$A$4:$N$502,4,FALSE),"")</f>
        <v/>
      </c>
      <c r="F84" s="8" t="str">
        <f>IFERROR(VLOOKUP($B84,商品台帳!$A$4:$N$502,5,FALSE),"")</f>
        <v/>
      </c>
      <c r="G84" s="8" t="str">
        <f>IFERROR(VLOOKUP($B84,商品台帳!$A$4:$N$502,6,FALSE),"")</f>
        <v/>
      </c>
      <c r="H84" s="8" t="str">
        <f>IFERROR(VLOOKUP($B84,商品台帳!$A$4:$N$502,7,FALSE),"")</f>
        <v/>
      </c>
      <c r="I84" s="8" t="str">
        <f>IFERROR(VLOOKUP($B84,商品台帳!$A$4:$N$502,8,FALSE),"")</f>
        <v/>
      </c>
      <c r="J84" s="8" t="str">
        <f>IFERROR(VLOOKUP($B84,商品台帳!$A$4:$N$502,9,FALSE),"")</f>
        <v/>
      </c>
      <c r="K84" s="8" t="str">
        <f>IFERROR(VLOOKUP($B84,商品台帳!$A$4:$N$502,10,FALSE),"")</f>
        <v/>
      </c>
      <c r="L84" s="8" t="str">
        <f>IFERROR(VLOOKUP($B84,商品台帳!$A$4:$N$502,11,FALSE),"")</f>
        <v/>
      </c>
      <c r="M84" s="8" t="str">
        <f>IFERROR(VLOOKUP($B84,商品台帳!$A$4:$N$502,12,FALSE),"")</f>
        <v/>
      </c>
      <c r="N84" s="8" t="str">
        <f>IFERROR(VLOOKUP($B84,商品台帳!$A$4:$N$502,13,FALSE),"")</f>
        <v/>
      </c>
      <c r="O84" s="8" t="str">
        <f>IFERROR(VLOOKUP($B84,商品台帳!$A$4:$N$502,14,FALSE),"")</f>
        <v/>
      </c>
    </row>
    <row r="85" spans="1:15">
      <c r="A85" s="17" t="s">
        <v>99</v>
      </c>
      <c r="B85" s="5"/>
      <c r="C85" s="8" t="str">
        <f>IFERROR(VLOOKUP($B85,商品台帳!$A$4:$N$502,2,FALSE),"")</f>
        <v/>
      </c>
      <c r="D85" s="8" t="str">
        <f>IFERROR(VLOOKUP($B85,商品台帳!$A$4:$N$502,3,FALSE),"")</f>
        <v/>
      </c>
      <c r="E85" s="8" t="str">
        <f>IFERROR(VLOOKUP($B85,商品台帳!$A$4:$N$502,4,FALSE),"")</f>
        <v/>
      </c>
      <c r="F85" s="8" t="str">
        <f>IFERROR(VLOOKUP($B85,商品台帳!$A$4:$N$502,5,FALSE),"")</f>
        <v/>
      </c>
      <c r="G85" s="8" t="str">
        <f>IFERROR(VLOOKUP($B85,商品台帳!$A$4:$N$502,6,FALSE),"")</f>
        <v/>
      </c>
      <c r="H85" s="8" t="str">
        <f>IFERROR(VLOOKUP($B85,商品台帳!$A$4:$N$502,7,FALSE),"")</f>
        <v/>
      </c>
      <c r="I85" s="8" t="str">
        <f>IFERROR(VLOOKUP($B85,商品台帳!$A$4:$N$502,8,FALSE),"")</f>
        <v/>
      </c>
      <c r="J85" s="8" t="str">
        <f>IFERROR(VLOOKUP($B85,商品台帳!$A$4:$N$502,9,FALSE),"")</f>
        <v/>
      </c>
      <c r="K85" s="8" t="str">
        <f>IFERROR(VLOOKUP($B85,商品台帳!$A$4:$N$502,10,FALSE),"")</f>
        <v/>
      </c>
      <c r="L85" s="8" t="str">
        <f>IFERROR(VLOOKUP($B85,商品台帳!$A$4:$N$502,11,FALSE),"")</f>
        <v/>
      </c>
      <c r="M85" s="8" t="str">
        <f>IFERROR(VLOOKUP($B85,商品台帳!$A$4:$N$502,12,FALSE),"")</f>
        <v/>
      </c>
      <c r="N85" s="8" t="str">
        <f>IFERROR(VLOOKUP($B85,商品台帳!$A$4:$N$502,13,FALSE),"")</f>
        <v/>
      </c>
      <c r="O85" s="8" t="str">
        <f>IFERROR(VLOOKUP($B85,商品台帳!$A$4:$N$502,14,FALSE),"")</f>
        <v/>
      </c>
    </row>
    <row r="86" spans="1:15">
      <c r="A86" s="17" t="s">
        <v>100</v>
      </c>
      <c r="B86" s="5"/>
      <c r="C86" s="8" t="str">
        <f>IFERROR(VLOOKUP($B86,商品台帳!$A$4:$N$502,2,FALSE),"")</f>
        <v/>
      </c>
      <c r="D86" s="8" t="str">
        <f>IFERROR(VLOOKUP($B86,商品台帳!$A$4:$N$502,3,FALSE),"")</f>
        <v/>
      </c>
      <c r="E86" s="8" t="str">
        <f>IFERROR(VLOOKUP($B86,商品台帳!$A$4:$N$502,4,FALSE),"")</f>
        <v/>
      </c>
      <c r="F86" s="8" t="str">
        <f>IFERROR(VLOOKUP($B86,商品台帳!$A$4:$N$502,5,FALSE),"")</f>
        <v/>
      </c>
      <c r="G86" s="8" t="str">
        <f>IFERROR(VLOOKUP($B86,商品台帳!$A$4:$N$502,6,FALSE),"")</f>
        <v/>
      </c>
      <c r="H86" s="8" t="str">
        <f>IFERROR(VLOOKUP($B86,商品台帳!$A$4:$N$502,7,FALSE),"")</f>
        <v/>
      </c>
      <c r="I86" s="8" t="str">
        <f>IFERROR(VLOOKUP($B86,商品台帳!$A$4:$N$502,8,FALSE),"")</f>
        <v/>
      </c>
      <c r="J86" s="8" t="str">
        <f>IFERROR(VLOOKUP($B86,商品台帳!$A$4:$N$502,9,FALSE),"")</f>
        <v/>
      </c>
      <c r="K86" s="8" t="str">
        <f>IFERROR(VLOOKUP($B86,商品台帳!$A$4:$N$502,10,FALSE),"")</f>
        <v/>
      </c>
      <c r="L86" s="8" t="str">
        <f>IFERROR(VLOOKUP($B86,商品台帳!$A$4:$N$502,11,FALSE),"")</f>
        <v/>
      </c>
      <c r="M86" s="8" t="str">
        <f>IFERROR(VLOOKUP($B86,商品台帳!$A$4:$N$502,12,FALSE),"")</f>
        <v/>
      </c>
      <c r="N86" s="8" t="str">
        <f>IFERROR(VLOOKUP($B86,商品台帳!$A$4:$N$502,13,FALSE),"")</f>
        <v/>
      </c>
      <c r="O86" s="8" t="str">
        <f>IFERROR(VLOOKUP($B86,商品台帳!$A$4:$N$502,14,FALSE),"")</f>
        <v/>
      </c>
    </row>
    <row r="87" spans="1:15">
      <c r="A87" s="17" t="s">
        <v>101</v>
      </c>
      <c r="B87" s="5"/>
      <c r="C87" s="8" t="str">
        <f>IFERROR(VLOOKUP($B87,商品台帳!$A$4:$N$502,2,FALSE),"")</f>
        <v/>
      </c>
      <c r="D87" s="8" t="str">
        <f>IFERROR(VLOOKUP($B87,商品台帳!$A$4:$N$502,3,FALSE),"")</f>
        <v/>
      </c>
      <c r="E87" s="8" t="str">
        <f>IFERROR(VLOOKUP($B87,商品台帳!$A$4:$N$502,4,FALSE),"")</f>
        <v/>
      </c>
      <c r="F87" s="8" t="str">
        <f>IFERROR(VLOOKUP($B87,商品台帳!$A$4:$N$502,5,FALSE),"")</f>
        <v/>
      </c>
      <c r="G87" s="8" t="str">
        <f>IFERROR(VLOOKUP($B87,商品台帳!$A$4:$N$502,6,FALSE),"")</f>
        <v/>
      </c>
      <c r="H87" s="8" t="str">
        <f>IFERROR(VLOOKUP($B87,商品台帳!$A$4:$N$502,7,FALSE),"")</f>
        <v/>
      </c>
      <c r="I87" s="8" t="str">
        <f>IFERROR(VLOOKUP($B87,商品台帳!$A$4:$N$502,8,FALSE),"")</f>
        <v/>
      </c>
      <c r="J87" s="8" t="str">
        <f>IFERROR(VLOOKUP($B87,商品台帳!$A$4:$N$502,9,FALSE),"")</f>
        <v/>
      </c>
      <c r="K87" s="8" t="str">
        <f>IFERROR(VLOOKUP($B87,商品台帳!$A$4:$N$502,10,FALSE),"")</f>
        <v/>
      </c>
      <c r="L87" s="8" t="str">
        <f>IFERROR(VLOOKUP($B87,商品台帳!$A$4:$N$502,11,FALSE),"")</f>
        <v/>
      </c>
      <c r="M87" s="8" t="str">
        <f>IFERROR(VLOOKUP($B87,商品台帳!$A$4:$N$502,12,FALSE),"")</f>
        <v/>
      </c>
      <c r="N87" s="8" t="str">
        <f>IFERROR(VLOOKUP($B87,商品台帳!$A$4:$N$502,13,FALSE),"")</f>
        <v/>
      </c>
      <c r="O87" s="8" t="str">
        <f>IFERROR(VLOOKUP($B87,商品台帳!$A$4:$N$502,14,FALSE),"")</f>
        <v/>
      </c>
    </row>
    <row r="88" spans="1:15">
      <c r="A88" s="17" t="s">
        <v>102</v>
      </c>
      <c r="B88" s="5"/>
      <c r="C88" s="8" t="str">
        <f>IFERROR(VLOOKUP($B88,商品台帳!$A$4:$N$502,2,FALSE),"")</f>
        <v/>
      </c>
      <c r="D88" s="8" t="str">
        <f>IFERROR(VLOOKUP($B88,商品台帳!$A$4:$N$502,3,FALSE),"")</f>
        <v/>
      </c>
      <c r="E88" s="8" t="str">
        <f>IFERROR(VLOOKUP($B88,商品台帳!$A$4:$N$502,4,FALSE),"")</f>
        <v/>
      </c>
      <c r="F88" s="8" t="str">
        <f>IFERROR(VLOOKUP($B88,商品台帳!$A$4:$N$502,5,FALSE),"")</f>
        <v/>
      </c>
      <c r="G88" s="8" t="str">
        <f>IFERROR(VLOOKUP($B88,商品台帳!$A$4:$N$502,6,FALSE),"")</f>
        <v/>
      </c>
      <c r="H88" s="8" t="str">
        <f>IFERROR(VLOOKUP($B88,商品台帳!$A$4:$N$502,7,FALSE),"")</f>
        <v/>
      </c>
      <c r="I88" s="8" t="str">
        <f>IFERROR(VLOOKUP($B88,商品台帳!$A$4:$N$502,8,FALSE),"")</f>
        <v/>
      </c>
      <c r="J88" s="8" t="str">
        <f>IFERROR(VLOOKUP($B88,商品台帳!$A$4:$N$502,9,FALSE),"")</f>
        <v/>
      </c>
      <c r="K88" s="8" t="str">
        <f>IFERROR(VLOOKUP($B88,商品台帳!$A$4:$N$502,10,FALSE),"")</f>
        <v/>
      </c>
      <c r="L88" s="8" t="str">
        <f>IFERROR(VLOOKUP($B88,商品台帳!$A$4:$N$502,11,FALSE),"")</f>
        <v/>
      </c>
      <c r="M88" s="8" t="str">
        <f>IFERROR(VLOOKUP($B88,商品台帳!$A$4:$N$502,12,FALSE),"")</f>
        <v/>
      </c>
      <c r="N88" s="8" t="str">
        <f>IFERROR(VLOOKUP($B88,商品台帳!$A$4:$N$502,13,FALSE),"")</f>
        <v/>
      </c>
      <c r="O88" s="8" t="str">
        <f>IFERROR(VLOOKUP($B88,商品台帳!$A$4:$N$502,14,FALSE),"")</f>
        <v/>
      </c>
    </row>
    <row r="89" spans="1:15">
      <c r="A89" s="17" t="s">
        <v>103</v>
      </c>
      <c r="B89" s="5"/>
      <c r="C89" s="8" t="str">
        <f>IFERROR(VLOOKUP($B89,商品台帳!$A$4:$N$502,2,FALSE),"")</f>
        <v/>
      </c>
      <c r="D89" s="8" t="str">
        <f>IFERROR(VLOOKUP($B89,商品台帳!$A$4:$N$502,3,FALSE),"")</f>
        <v/>
      </c>
      <c r="E89" s="8" t="str">
        <f>IFERROR(VLOOKUP($B89,商品台帳!$A$4:$N$502,4,FALSE),"")</f>
        <v/>
      </c>
      <c r="F89" s="8" t="str">
        <f>IFERROR(VLOOKUP($B89,商品台帳!$A$4:$N$502,5,FALSE),"")</f>
        <v/>
      </c>
      <c r="G89" s="8" t="str">
        <f>IFERROR(VLOOKUP($B89,商品台帳!$A$4:$N$502,6,FALSE),"")</f>
        <v/>
      </c>
      <c r="H89" s="8" t="str">
        <f>IFERROR(VLOOKUP($B89,商品台帳!$A$4:$N$502,7,FALSE),"")</f>
        <v/>
      </c>
      <c r="I89" s="8" t="str">
        <f>IFERROR(VLOOKUP($B89,商品台帳!$A$4:$N$502,8,FALSE),"")</f>
        <v/>
      </c>
      <c r="J89" s="8" t="str">
        <f>IFERROR(VLOOKUP($B89,商品台帳!$A$4:$N$502,9,FALSE),"")</f>
        <v/>
      </c>
      <c r="K89" s="8" t="str">
        <f>IFERROR(VLOOKUP($B89,商品台帳!$A$4:$N$502,10,FALSE),"")</f>
        <v/>
      </c>
      <c r="L89" s="8" t="str">
        <f>IFERROR(VLOOKUP($B89,商品台帳!$A$4:$N$502,11,FALSE),"")</f>
        <v/>
      </c>
      <c r="M89" s="8" t="str">
        <f>IFERROR(VLOOKUP($B89,商品台帳!$A$4:$N$502,12,FALSE),"")</f>
        <v/>
      </c>
      <c r="N89" s="8" t="str">
        <f>IFERROR(VLOOKUP($B89,商品台帳!$A$4:$N$502,13,FALSE),"")</f>
        <v/>
      </c>
      <c r="O89" s="8" t="str">
        <f>IFERROR(VLOOKUP($B89,商品台帳!$A$4:$N$502,14,FALSE),"")</f>
        <v/>
      </c>
    </row>
    <row r="90" spans="1:15">
      <c r="A90" s="17" t="s">
        <v>104</v>
      </c>
      <c r="B90" s="5"/>
      <c r="C90" s="8" t="str">
        <f>IFERROR(VLOOKUP($B90,商品台帳!$A$4:$N$502,2,FALSE),"")</f>
        <v/>
      </c>
      <c r="D90" s="8" t="str">
        <f>IFERROR(VLOOKUP($B90,商品台帳!$A$4:$N$502,3,FALSE),"")</f>
        <v/>
      </c>
      <c r="E90" s="8" t="str">
        <f>IFERROR(VLOOKUP($B90,商品台帳!$A$4:$N$502,4,FALSE),"")</f>
        <v/>
      </c>
      <c r="F90" s="8" t="str">
        <f>IFERROR(VLOOKUP($B90,商品台帳!$A$4:$N$502,5,FALSE),"")</f>
        <v/>
      </c>
      <c r="G90" s="8" t="str">
        <f>IFERROR(VLOOKUP($B90,商品台帳!$A$4:$N$502,6,FALSE),"")</f>
        <v/>
      </c>
      <c r="H90" s="8" t="str">
        <f>IFERROR(VLOOKUP($B90,商品台帳!$A$4:$N$502,7,FALSE),"")</f>
        <v/>
      </c>
      <c r="I90" s="8" t="str">
        <f>IFERROR(VLOOKUP($B90,商品台帳!$A$4:$N$502,8,FALSE),"")</f>
        <v/>
      </c>
      <c r="J90" s="8" t="str">
        <f>IFERROR(VLOOKUP($B90,商品台帳!$A$4:$N$502,9,FALSE),"")</f>
        <v/>
      </c>
      <c r="K90" s="8" t="str">
        <f>IFERROR(VLOOKUP($B90,商品台帳!$A$4:$N$502,10,FALSE),"")</f>
        <v/>
      </c>
      <c r="L90" s="8" t="str">
        <f>IFERROR(VLOOKUP($B90,商品台帳!$A$4:$N$502,11,FALSE),"")</f>
        <v/>
      </c>
      <c r="M90" s="8" t="str">
        <f>IFERROR(VLOOKUP($B90,商品台帳!$A$4:$N$502,12,FALSE),"")</f>
        <v/>
      </c>
      <c r="N90" s="8" t="str">
        <f>IFERROR(VLOOKUP($B90,商品台帳!$A$4:$N$502,13,FALSE),"")</f>
        <v/>
      </c>
      <c r="O90" s="8" t="str">
        <f>IFERROR(VLOOKUP($B90,商品台帳!$A$4:$N$502,14,FALSE),"")</f>
        <v/>
      </c>
    </row>
    <row r="91" spans="1:15">
      <c r="A91" s="17" t="s">
        <v>105</v>
      </c>
      <c r="B91" s="5"/>
      <c r="C91" s="8" t="str">
        <f>IFERROR(VLOOKUP($B91,商品台帳!$A$4:$N$502,2,FALSE),"")</f>
        <v/>
      </c>
      <c r="D91" s="8" t="str">
        <f>IFERROR(VLOOKUP($B91,商品台帳!$A$4:$N$502,3,FALSE),"")</f>
        <v/>
      </c>
      <c r="E91" s="8" t="str">
        <f>IFERROR(VLOOKUP($B91,商品台帳!$A$4:$N$502,4,FALSE),"")</f>
        <v/>
      </c>
      <c r="F91" s="8" t="str">
        <f>IFERROR(VLOOKUP($B91,商品台帳!$A$4:$N$502,5,FALSE),"")</f>
        <v/>
      </c>
      <c r="G91" s="8" t="str">
        <f>IFERROR(VLOOKUP($B91,商品台帳!$A$4:$N$502,6,FALSE),"")</f>
        <v/>
      </c>
      <c r="H91" s="8" t="str">
        <f>IFERROR(VLOOKUP($B91,商品台帳!$A$4:$N$502,7,FALSE),"")</f>
        <v/>
      </c>
      <c r="I91" s="8" t="str">
        <f>IFERROR(VLOOKUP($B91,商品台帳!$A$4:$N$502,8,FALSE),"")</f>
        <v/>
      </c>
      <c r="J91" s="8" t="str">
        <f>IFERROR(VLOOKUP($B91,商品台帳!$A$4:$N$502,9,FALSE),"")</f>
        <v/>
      </c>
      <c r="K91" s="8" t="str">
        <f>IFERROR(VLOOKUP($B91,商品台帳!$A$4:$N$502,10,FALSE),"")</f>
        <v/>
      </c>
      <c r="L91" s="8" t="str">
        <f>IFERROR(VLOOKUP($B91,商品台帳!$A$4:$N$502,11,FALSE),"")</f>
        <v/>
      </c>
      <c r="M91" s="8" t="str">
        <f>IFERROR(VLOOKUP($B91,商品台帳!$A$4:$N$502,12,FALSE),"")</f>
        <v/>
      </c>
      <c r="N91" s="8" t="str">
        <f>IFERROR(VLOOKUP($B91,商品台帳!$A$4:$N$502,13,FALSE),"")</f>
        <v/>
      </c>
      <c r="O91" s="8" t="str">
        <f>IFERROR(VLOOKUP($B91,商品台帳!$A$4:$N$502,14,FALSE),"")</f>
        <v/>
      </c>
    </row>
    <row r="92" spans="1:15">
      <c r="A92" s="17" t="s">
        <v>106</v>
      </c>
      <c r="B92" s="5"/>
      <c r="C92" s="8" t="str">
        <f>IFERROR(VLOOKUP($B92,商品台帳!$A$4:$N$502,2,FALSE),"")</f>
        <v/>
      </c>
      <c r="D92" s="8" t="str">
        <f>IFERROR(VLOOKUP($B92,商品台帳!$A$4:$N$502,3,FALSE),"")</f>
        <v/>
      </c>
      <c r="E92" s="8" t="str">
        <f>IFERROR(VLOOKUP($B92,商品台帳!$A$4:$N$502,4,FALSE),"")</f>
        <v/>
      </c>
      <c r="F92" s="8" t="str">
        <f>IFERROR(VLOOKUP($B92,商品台帳!$A$4:$N$502,5,FALSE),"")</f>
        <v/>
      </c>
      <c r="G92" s="8" t="str">
        <f>IFERROR(VLOOKUP($B92,商品台帳!$A$4:$N$502,6,FALSE),"")</f>
        <v/>
      </c>
      <c r="H92" s="8" t="str">
        <f>IFERROR(VLOOKUP($B92,商品台帳!$A$4:$N$502,7,FALSE),"")</f>
        <v/>
      </c>
      <c r="I92" s="8" t="str">
        <f>IFERROR(VLOOKUP($B92,商品台帳!$A$4:$N$502,8,FALSE),"")</f>
        <v/>
      </c>
      <c r="J92" s="8" t="str">
        <f>IFERROR(VLOOKUP($B92,商品台帳!$A$4:$N$502,9,FALSE),"")</f>
        <v/>
      </c>
      <c r="K92" s="8" t="str">
        <f>IFERROR(VLOOKUP($B92,商品台帳!$A$4:$N$502,10,FALSE),"")</f>
        <v/>
      </c>
      <c r="L92" s="8" t="str">
        <f>IFERROR(VLOOKUP($B92,商品台帳!$A$4:$N$502,11,FALSE),"")</f>
        <v/>
      </c>
      <c r="M92" s="8" t="str">
        <f>IFERROR(VLOOKUP($B92,商品台帳!$A$4:$N$502,12,FALSE),"")</f>
        <v/>
      </c>
      <c r="N92" s="8" t="str">
        <f>IFERROR(VLOOKUP($B92,商品台帳!$A$4:$N$502,13,FALSE),"")</f>
        <v/>
      </c>
      <c r="O92" s="8" t="str">
        <f>IFERROR(VLOOKUP($B92,商品台帳!$A$4:$N$502,14,FALSE),"")</f>
        <v/>
      </c>
    </row>
    <row r="93" spans="1:15">
      <c r="A93" s="17" t="s">
        <v>107</v>
      </c>
      <c r="B93" s="5"/>
      <c r="C93" s="8" t="str">
        <f>IFERROR(VLOOKUP($B93,商品台帳!$A$4:$N$502,2,FALSE),"")</f>
        <v/>
      </c>
      <c r="D93" s="8" t="str">
        <f>IFERROR(VLOOKUP($B93,商品台帳!$A$4:$N$502,3,FALSE),"")</f>
        <v/>
      </c>
      <c r="E93" s="8" t="str">
        <f>IFERROR(VLOOKUP($B93,商品台帳!$A$4:$N$502,4,FALSE),"")</f>
        <v/>
      </c>
      <c r="F93" s="8" t="str">
        <f>IFERROR(VLOOKUP($B93,商品台帳!$A$4:$N$502,5,FALSE),"")</f>
        <v/>
      </c>
      <c r="G93" s="8" t="str">
        <f>IFERROR(VLOOKUP($B93,商品台帳!$A$4:$N$502,6,FALSE),"")</f>
        <v/>
      </c>
      <c r="H93" s="8" t="str">
        <f>IFERROR(VLOOKUP($B93,商品台帳!$A$4:$N$502,7,FALSE),"")</f>
        <v/>
      </c>
      <c r="I93" s="8" t="str">
        <f>IFERROR(VLOOKUP($B93,商品台帳!$A$4:$N$502,8,FALSE),"")</f>
        <v/>
      </c>
      <c r="J93" s="8" t="str">
        <f>IFERROR(VLOOKUP($B93,商品台帳!$A$4:$N$502,9,FALSE),"")</f>
        <v/>
      </c>
      <c r="K93" s="8" t="str">
        <f>IFERROR(VLOOKUP($B93,商品台帳!$A$4:$N$502,10,FALSE),"")</f>
        <v/>
      </c>
      <c r="L93" s="8" t="str">
        <f>IFERROR(VLOOKUP($B93,商品台帳!$A$4:$N$502,11,FALSE),"")</f>
        <v/>
      </c>
      <c r="M93" s="8" t="str">
        <f>IFERROR(VLOOKUP($B93,商品台帳!$A$4:$N$502,12,FALSE),"")</f>
        <v/>
      </c>
      <c r="N93" s="8" t="str">
        <f>IFERROR(VLOOKUP($B93,商品台帳!$A$4:$N$502,13,FALSE),"")</f>
        <v/>
      </c>
      <c r="O93" s="8" t="str">
        <f>IFERROR(VLOOKUP($B93,商品台帳!$A$4:$N$502,14,FALSE),"")</f>
        <v/>
      </c>
    </row>
    <row r="94" spans="1:15">
      <c r="A94" s="17" t="s">
        <v>108</v>
      </c>
      <c r="B94" s="5"/>
      <c r="C94" s="8" t="str">
        <f>IFERROR(VLOOKUP($B94,商品台帳!$A$4:$N$502,2,FALSE),"")</f>
        <v/>
      </c>
      <c r="D94" s="8" t="str">
        <f>IFERROR(VLOOKUP($B94,商品台帳!$A$4:$N$502,3,FALSE),"")</f>
        <v/>
      </c>
      <c r="E94" s="8" t="str">
        <f>IFERROR(VLOOKUP($B94,商品台帳!$A$4:$N$502,4,FALSE),"")</f>
        <v/>
      </c>
      <c r="F94" s="8" t="str">
        <f>IFERROR(VLOOKUP($B94,商品台帳!$A$4:$N$502,5,FALSE),"")</f>
        <v/>
      </c>
      <c r="G94" s="8" t="str">
        <f>IFERROR(VLOOKUP($B94,商品台帳!$A$4:$N$502,6,FALSE),"")</f>
        <v/>
      </c>
      <c r="H94" s="8" t="str">
        <f>IFERROR(VLOOKUP($B94,商品台帳!$A$4:$N$502,7,FALSE),"")</f>
        <v/>
      </c>
      <c r="I94" s="8" t="str">
        <f>IFERROR(VLOOKUP($B94,商品台帳!$A$4:$N$502,8,FALSE),"")</f>
        <v/>
      </c>
      <c r="J94" s="8" t="str">
        <f>IFERROR(VLOOKUP($B94,商品台帳!$A$4:$N$502,9,FALSE),"")</f>
        <v/>
      </c>
      <c r="K94" s="8" t="str">
        <f>IFERROR(VLOOKUP($B94,商品台帳!$A$4:$N$502,10,FALSE),"")</f>
        <v/>
      </c>
      <c r="L94" s="8" t="str">
        <f>IFERROR(VLOOKUP($B94,商品台帳!$A$4:$N$502,11,FALSE),"")</f>
        <v/>
      </c>
      <c r="M94" s="8" t="str">
        <f>IFERROR(VLOOKUP($B94,商品台帳!$A$4:$N$502,12,FALSE),"")</f>
        <v/>
      </c>
      <c r="N94" s="8" t="str">
        <f>IFERROR(VLOOKUP($B94,商品台帳!$A$4:$N$502,13,FALSE),"")</f>
        <v/>
      </c>
      <c r="O94" s="8" t="str">
        <f>IFERROR(VLOOKUP($B94,商品台帳!$A$4:$N$502,14,FALSE),"")</f>
        <v/>
      </c>
    </row>
    <row r="95" spans="1:15">
      <c r="A95" s="17" t="s">
        <v>109</v>
      </c>
      <c r="B95" s="5"/>
      <c r="C95" s="8" t="str">
        <f>IFERROR(VLOOKUP($B95,商品台帳!$A$4:$N$502,2,FALSE),"")</f>
        <v/>
      </c>
      <c r="D95" s="8" t="str">
        <f>IFERROR(VLOOKUP($B95,商品台帳!$A$4:$N$502,3,FALSE),"")</f>
        <v/>
      </c>
      <c r="E95" s="8" t="str">
        <f>IFERROR(VLOOKUP($B95,商品台帳!$A$4:$N$502,4,FALSE),"")</f>
        <v/>
      </c>
      <c r="F95" s="8" t="str">
        <f>IFERROR(VLOOKUP($B95,商品台帳!$A$4:$N$502,5,FALSE),"")</f>
        <v/>
      </c>
      <c r="G95" s="8" t="str">
        <f>IFERROR(VLOOKUP($B95,商品台帳!$A$4:$N$502,6,FALSE),"")</f>
        <v/>
      </c>
      <c r="H95" s="8" t="str">
        <f>IFERROR(VLOOKUP($B95,商品台帳!$A$4:$N$502,7,FALSE),"")</f>
        <v/>
      </c>
      <c r="I95" s="8" t="str">
        <f>IFERROR(VLOOKUP($B95,商品台帳!$A$4:$N$502,8,FALSE),"")</f>
        <v/>
      </c>
      <c r="J95" s="8" t="str">
        <f>IFERROR(VLOOKUP($B95,商品台帳!$A$4:$N$502,9,FALSE),"")</f>
        <v/>
      </c>
      <c r="K95" s="8" t="str">
        <f>IFERROR(VLOOKUP($B95,商品台帳!$A$4:$N$502,10,FALSE),"")</f>
        <v/>
      </c>
      <c r="L95" s="8" t="str">
        <f>IFERROR(VLOOKUP($B95,商品台帳!$A$4:$N$502,11,FALSE),"")</f>
        <v/>
      </c>
      <c r="M95" s="8" t="str">
        <f>IFERROR(VLOOKUP($B95,商品台帳!$A$4:$N$502,12,FALSE),"")</f>
        <v/>
      </c>
      <c r="N95" s="8" t="str">
        <f>IFERROR(VLOOKUP($B95,商品台帳!$A$4:$N$502,13,FALSE),"")</f>
        <v/>
      </c>
      <c r="O95" s="8" t="str">
        <f>IFERROR(VLOOKUP($B95,商品台帳!$A$4:$N$502,14,FALSE),"")</f>
        <v/>
      </c>
    </row>
    <row r="96" spans="1:15">
      <c r="A96" s="17" t="s">
        <v>110</v>
      </c>
      <c r="B96" s="5"/>
      <c r="C96" s="8" t="str">
        <f>IFERROR(VLOOKUP($B96,商品台帳!$A$4:$N$502,2,FALSE),"")</f>
        <v/>
      </c>
      <c r="D96" s="8" t="str">
        <f>IFERROR(VLOOKUP($B96,商品台帳!$A$4:$N$502,3,FALSE),"")</f>
        <v/>
      </c>
      <c r="E96" s="8" t="str">
        <f>IFERROR(VLOOKUP($B96,商品台帳!$A$4:$N$502,4,FALSE),"")</f>
        <v/>
      </c>
      <c r="F96" s="8" t="str">
        <f>IFERROR(VLOOKUP($B96,商品台帳!$A$4:$N$502,5,FALSE),"")</f>
        <v/>
      </c>
      <c r="G96" s="8" t="str">
        <f>IFERROR(VLOOKUP($B96,商品台帳!$A$4:$N$502,6,FALSE),"")</f>
        <v/>
      </c>
      <c r="H96" s="8" t="str">
        <f>IFERROR(VLOOKUP($B96,商品台帳!$A$4:$N$502,7,FALSE),"")</f>
        <v/>
      </c>
      <c r="I96" s="8" t="str">
        <f>IFERROR(VLOOKUP($B96,商品台帳!$A$4:$N$502,8,FALSE),"")</f>
        <v/>
      </c>
      <c r="J96" s="8" t="str">
        <f>IFERROR(VLOOKUP($B96,商品台帳!$A$4:$N$502,9,FALSE),"")</f>
        <v/>
      </c>
      <c r="K96" s="8" t="str">
        <f>IFERROR(VLOOKUP($B96,商品台帳!$A$4:$N$502,10,FALSE),"")</f>
        <v/>
      </c>
      <c r="L96" s="8" t="str">
        <f>IFERROR(VLOOKUP($B96,商品台帳!$A$4:$N$502,11,FALSE),"")</f>
        <v/>
      </c>
      <c r="M96" s="8" t="str">
        <f>IFERROR(VLOOKUP($B96,商品台帳!$A$4:$N$502,12,FALSE),"")</f>
        <v/>
      </c>
      <c r="N96" s="8" t="str">
        <f>IFERROR(VLOOKUP($B96,商品台帳!$A$4:$N$502,13,FALSE),"")</f>
        <v/>
      </c>
      <c r="O96" s="8" t="str">
        <f>IFERROR(VLOOKUP($B96,商品台帳!$A$4:$N$502,14,FALSE),"")</f>
        <v/>
      </c>
    </row>
    <row r="97" spans="1:15">
      <c r="A97" s="17" t="s">
        <v>111</v>
      </c>
      <c r="B97" s="5"/>
      <c r="C97" s="8" t="str">
        <f>IFERROR(VLOOKUP($B97,商品台帳!$A$4:$N$502,2,FALSE),"")</f>
        <v/>
      </c>
      <c r="D97" s="8" t="str">
        <f>IFERROR(VLOOKUP($B97,商品台帳!$A$4:$N$502,3,FALSE),"")</f>
        <v/>
      </c>
      <c r="E97" s="8" t="str">
        <f>IFERROR(VLOOKUP($B97,商品台帳!$A$4:$N$502,4,FALSE),"")</f>
        <v/>
      </c>
      <c r="F97" s="8" t="str">
        <f>IFERROR(VLOOKUP($B97,商品台帳!$A$4:$N$502,5,FALSE),"")</f>
        <v/>
      </c>
      <c r="G97" s="8" t="str">
        <f>IFERROR(VLOOKUP($B97,商品台帳!$A$4:$N$502,6,FALSE),"")</f>
        <v/>
      </c>
      <c r="H97" s="8" t="str">
        <f>IFERROR(VLOOKUP($B97,商品台帳!$A$4:$N$502,7,FALSE),"")</f>
        <v/>
      </c>
      <c r="I97" s="8" t="str">
        <f>IFERROR(VLOOKUP($B97,商品台帳!$A$4:$N$502,8,FALSE),"")</f>
        <v/>
      </c>
      <c r="J97" s="8" t="str">
        <f>IFERROR(VLOOKUP($B97,商品台帳!$A$4:$N$502,9,FALSE),"")</f>
        <v/>
      </c>
      <c r="K97" s="8" t="str">
        <f>IFERROR(VLOOKUP($B97,商品台帳!$A$4:$N$502,10,FALSE),"")</f>
        <v/>
      </c>
      <c r="L97" s="8" t="str">
        <f>IFERROR(VLOOKUP($B97,商品台帳!$A$4:$N$502,11,FALSE),"")</f>
        <v/>
      </c>
      <c r="M97" s="8" t="str">
        <f>IFERROR(VLOOKUP($B97,商品台帳!$A$4:$N$502,12,FALSE),"")</f>
        <v/>
      </c>
      <c r="N97" s="8" t="str">
        <f>IFERROR(VLOOKUP($B97,商品台帳!$A$4:$N$502,13,FALSE),"")</f>
        <v/>
      </c>
      <c r="O97" s="8" t="str">
        <f>IFERROR(VLOOKUP($B97,商品台帳!$A$4:$N$502,14,FALSE),"")</f>
        <v/>
      </c>
    </row>
    <row r="98" spans="1:15">
      <c r="A98" s="17" t="s">
        <v>112</v>
      </c>
      <c r="B98" s="5"/>
      <c r="C98" s="8" t="str">
        <f>IFERROR(VLOOKUP($B98,商品台帳!$A$4:$N$502,2,FALSE),"")</f>
        <v/>
      </c>
      <c r="D98" s="8" t="str">
        <f>IFERROR(VLOOKUP($B98,商品台帳!$A$4:$N$502,3,FALSE),"")</f>
        <v/>
      </c>
      <c r="E98" s="8" t="str">
        <f>IFERROR(VLOOKUP($B98,商品台帳!$A$4:$N$502,4,FALSE),"")</f>
        <v/>
      </c>
      <c r="F98" s="8" t="str">
        <f>IFERROR(VLOOKUP($B98,商品台帳!$A$4:$N$502,5,FALSE),"")</f>
        <v/>
      </c>
      <c r="G98" s="8" t="str">
        <f>IFERROR(VLOOKUP($B98,商品台帳!$A$4:$N$502,6,FALSE),"")</f>
        <v/>
      </c>
      <c r="H98" s="8" t="str">
        <f>IFERROR(VLOOKUP($B98,商品台帳!$A$4:$N$502,7,FALSE),"")</f>
        <v/>
      </c>
      <c r="I98" s="8" t="str">
        <f>IFERROR(VLOOKUP($B98,商品台帳!$A$4:$N$502,8,FALSE),"")</f>
        <v/>
      </c>
      <c r="J98" s="8" t="str">
        <f>IFERROR(VLOOKUP($B98,商品台帳!$A$4:$N$502,9,FALSE),"")</f>
        <v/>
      </c>
      <c r="K98" s="8" t="str">
        <f>IFERROR(VLOOKUP($B98,商品台帳!$A$4:$N$502,10,FALSE),"")</f>
        <v/>
      </c>
      <c r="L98" s="8" t="str">
        <f>IFERROR(VLOOKUP($B98,商品台帳!$A$4:$N$502,11,FALSE),"")</f>
        <v/>
      </c>
      <c r="M98" s="8" t="str">
        <f>IFERROR(VLOOKUP($B98,商品台帳!$A$4:$N$502,12,FALSE),"")</f>
        <v/>
      </c>
      <c r="N98" s="8" t="str">
        <f>IFERROR(VLOOKUP($B98,商品台帳!$A$4:$N$502,13,FALSE),"")</f>
        <v/>
      </c>
      <c r="O98" s="8" t="str">
        <f>IFERROR(VLOOKUP($B98,商品台帳!$A$4:$N$502,14,FALSE),"")</f>
        <v/>
      </c>
    </row>
    <row r="99" spans="1:15">
      <c r="A99" s="17" t="s">
        <v>113</v>
      </c>
      <c r="B99" s="5"/>
      <c r="C99" s="8" t="str">
        <f>IFERROR(VLOOKUP($B99,商品台帳!$A$4:$N$502,2,FALSE),"")</f>
        <v/>
      </c>
      <c r="D99" s="8" t="str">
        <f>IFERROR(VLOOKUP($B99,商品台帳!$A$4:$N$502,3,FALSE),"")</f>
        <v/>
      </c>
      <c r="E99" s="8" t="str">
        <f>IFERROR(VLOOKUP($B99,商品台帳!$A$4:$N$502,4,FALSE),"")</f>
        <v/>
      </c>
      <c r="F99" s="8" t="str">
        <f>IFERROR(VLOOKUP($B99,商品台帳!$A$4:$N$502,5,FALSE),"")</f>
        <v/>
      </c>
      <c r="G99" s="8" t="str">
        <f>IFERROR(VLOOKUP($B99,商品台帳!$A$4:$N$502,6,FALSE),"")</f>
        <v/>
      </c>
      <c r="H99" s="8" t="str">
        <f>IFERROR(VLOOKUP($B99,商品台帳!$A$4:$N$502,7,FALSE),"")</f>
        <v/>
      </c>
      <c r="I99" s="8" t="str">
        <f>IFERROR(VLOOKUP($B99,商品台帳!$A$4:$N$502,8,FALSE),"")</f>
        <v/>
      </c>
      <c r="J99" s="8" t="str">
        <f>IFERROR(VLOOKUP($B99,商品台帳!$A$4:$N$502,9,FALSE),"")</f>
        <v/>
      </c>
      <c r="K99" s="8" t="str">
        <f>IFERROR(VLOOKUP($B99,商品台帳!$A$4:$N$502,10,FALSE),"")</f>
        <v/>
      </c>
      <c r="L99" s="8" t="str">
        <f>IFERROR(VLOOKUP($B99,商品台帳!$A$4:$N$502,11,FALSE),"")</f>
        <v/>
      </c>
      <c r="M99" s="8" t="str">
        <f>IFERROR(VLOOKUP($B99,商品台帳!$A$4:$N$502,12,FALSE),"")</f>
        <v/>
      </c>
      <c r="N99" s="8" t="str">
        <f>IFERROR(VLOOKUP($B99,商品台帳!$A$4:$N$502,13,FALSE),"")</f>
        <v/>
      </c>
      <c r="O99" s="8" t="str">
        <f>IFERROR(VLOOKUP($B99,商品台帳!$A$4:$N$502,14,FALSE),"")</f>
        <v/>
      </c>
    </row>
    <row r="100" spans="1:15">
      <c r="A100" s="17" t="s">
        <v>114</v>
      </c>
      <c r="B100" s="5"/>
      <c r="C100" s="8" t="str">
        <f>IFERROR(VLOOKUP($B100,商品台帳!$A$4:$N$502,2,FALSE),"")</f>
        <v/>
      </c>
      <c r="D100" s="8" t="str">
        <f>IFERROR(VLOOKUP($B100,商品台帳!$A$4:$N$502,3,FALSE),"")</f>
        <v/>
      </c>
      <c r="E100" s="8" t="str">
        <f>IFERROR(VLOOKUP($B100,商品台帳!$A$4:$N$502,4,FALSE),"")</f>
        <v/>
      </c>
      <c r="F100" s="8" t="str">
        <f>IFERROR(VLOOKUP($B100,商品台帳!$A$4:$N$502,5,FALSE),"")</f>
        <v/>
      </c>
      <c r="G100" s="8" t="str">
        <f>IFERROR(VLOOKUP($B100,商品台帳!$A$4:$N$502,6,FALSE),"")</f>
        <v/>
      </c>
      <c r="H100" s="8" t="str">
        <f>IFERROR(VLOOKUP($B100,商品台帳!$A$4:$N$502,7,FALSE),"")</f>
        <v/>
      </c>
      <c r="I100" s="8" t="str">
        <f>IFERROR(VLOOKUP($B100,商品台帳!$A$4:$N$502,8,FALSE),"")</f>
        <v/>
      </c>
      <c r="J100" s="8" t="str">
        <f>IFERROR(VLOOKUP($B100,商品台帳!$A$4:$N$502,9,FALSE),"")</f>
        <v/>
      </c>
      <c r="K100" s="8" t="str">
        <f>IFERROR(VLOOKUP($B100,商品台帳!$A$4:$N$502,10,FALSE),"")</f>
        <v/>
      </c>
      <c r="L100" s="8" t="str">
        <f>IFERROR(VLOOKUP($B100,商品台帳!$A$4:$N$502,11,FALSE),"")</f>
        <v/>
      </c>
      <c r="M100" s="8" t="str">
        <f>IFERROR(VLOOKUP($B100,商品台帳!$A$4:$N$502,12,FALSE),"")</f>
        <v/>
      </c>
      <c r="N100" s="8" t="str">
        <f>IFERROR(VLOOKUP($B100,商品台帳!$A$4:$N$502,13,FALSE),"")</f>
        <v/>
      </c>
      <c r="O100" s="8" t="str">
        <f>IFERROR(VLOOKUP($B100,商品台帳!$A$4:$N$502,14,FALSE),"")</f>
        <v/>
      </c>
    </row>
    <row r="101" spans="1:15">
      <c r="A101" s="17" t="s">
        <v>115</v>
      </c>
      <c r="B101" s="5"/>
      <c r="C101" s="8" t="str">
        <f>IFERROR(VLOOKUP($B101,商品台帳!$A$4:$N$502,2,FALSE),"")</f>
        <v/>
      </c>
      <c r="D101" s="8" t="str">
        <f>IFERROR(VLOOKUP($B101,商品台帳!$A$4:$N$502,3,FALSE),"")</f>
        <v/>
      </c>
      <c r="E101" s="8" t="str">
        <f>IFERROR(VLOOKUP($B101,商品台帳!$A$4:$N$502,4,FALSE),"")</f>
        <v/>
      </c>
      <c r="F101" s="8" t="str">
        <f>IFERROR(VLOOKUP($B101,商品台帳!$A$4:$N$502,5,FALSE),"")</f>
        <v/>
      </c>
      <c r="G101" s="8" t="str">
        <f>IFERROR(VLOOKUP($B101,商品台帳!$A$4:$N$502,6,FALSE),"")</f>
        <v/>
      </c>
      <c r="H101" s="8" t="str">
        <f>IFERROR(VLOOKUP($B101,商品台帳!$A$4:$N$502,7,FALSE),"")</f>
        <v/>
      </c>
      <c r="I101" s="8" t="str">
        <f>IFERROR(VLOOKUP($B101,商品台帳!$A$4:$N$502,8,FALSE),"")</f>
        <v/>
      </c>
      <c r="J101" s="8" t="str">
        <f>IFERROR(VLOOKUP($B101,商品台帳!$A$4:$N$502,9,FALSE),"")</f>
        <v/>
      </c>
      <c r="K101" s="8" t="str">
        <f>IFERROR(VLOOKUP($B101,商品台帳!$A$4:$N$502,10,FALSE),"")</f>
        <v/>
      </c>
      <c r="L101" s="8" t="str">
        <f>IFERROR(VLOOKUP($B101,商品台帳!$A$4:$N$502,11,FALSE),"")</f>
        <v/>
      </c>
      <c r="M101" s="8" t="str">
        <f>IFERROR(VLOOKUP($B101,商品台帳!$A$4:$N$502,12,FALSE),"")</f>
        <v/>
      </c>
      <c r="N101" s="8" t="str">
        <f>IFERROR(VLOOKUP($B101,商品台帳!$A$4:$N$502,13,FALSE),"")</f>
        <v/>
      </c>
      <c r="O101" s="8" t="str">
        <f>IFERROR(VLOOKUP($B101,商品台帳!$A$4:$N$502,14,FALSE),"")</f>
        <v/>
      </c>
    </row>
    <row r="102" spans="1:15">
      <c r="A102" s="17" t="s">
        <v>116</v>
      </c>
      <c r="B102" s="5"/>
      <c r="C102" s="8" t="str">
        <f>IFERROR(VLOOKUP($B102,商品台帳!$A$4:$N$502,2,FALSE),"")</f>
        <v/>
      </c>
      <c r="D102" s="8" t="str">
        <f>IFERROR(VLOOKUP($B102,商品台帳!$A$4:$N$502,3,FALSE),"")</f>
        <v/>
      </c>
      <c r="E102" s="8" t="str">
        <f>IFERROR(VLOOKUP($B102,商品台帳!$A$4:$N$502,4,FALSE),"")</f>
        <v/>
      </c>
      <c r="F102" s="8" t="str">
        <f>IFERROR(VLOOKUP($B102,商品台帳!$A$4:$N$502,5,FALSE),"")</f>
        <v/>
      </c>
      <c r="G102" s="8" t="str">
        <f>IFERROR(VLOOKUP($B102,商品台帳!$A$4:$N$502,6,FALSE),"")</f>
        <v/>
      </c>
      <c r="H102" s="8" t="str">
        <f>IFERROR(VLOOKUP($B102,商品台帳!$A$4:$N$502,7,FALSE),"")</f>
        <v/>
      </c>
      <c r="I102" s="8" t="str">
        <f>IFERROR(VLOOKUP($B102,商品台帳!$A$4:$N$502,8,FALSE),"")</f>
        <v/>
      </c>
      <c r="J102" s="8" t="str">
        <f>IFERROR(VLOOKUP($B102,商品台帳!$A$4:$N$502,9,FALSE),"")</f>
        <v/>
      </c>
      <c r="K102" s="8" t="str">
        <f>IFERROR(VLOOKUP($B102,商品台帳!$A$4:$N$502,10,FALSE),"")</f>
        <v/>
      </c>
      <c r="L102" s="8" t="str">
        <f>IFERROR(VLOOKUP($B102,商品台帳!$A$4:$N$502,11,FALSE),"")</f>
        <v/>
      </c>
      <c r="M102" s="8" t="str">
        <f>IFERROR(VLOOKUP($B102,商品台帳!$A$4:$N$502,12,FALSE),"")</f>
        <v/>
      </c>
      <c r="N102" s="8" t="str">
        <f>IFERROR(VLOOKUP($B102,商品台帳!$A$4:$N$502,13,FALSE),"")</f>
        <v/>
      </c>
      <c r="O102" s="8" t="str">
        <f>IFERROR(VLOOKUP($B102,商品台帳!$A$4:$N$502,14,FALSE),"")</f>
        <v/>
      </c>
    </row>
    <row r="103" spans="1:15">
      <c r="A103" s="17" t="s">
        <v>117</v>
      </c>
      <c r="B103" s="5"/>
      <c r="C103" s="8" t="str">
        <f>IFERROR(VLOOKUP($B103,商品台帳!$A$4:$N$502,2,FALSE),"")</f>
        <v/>
      </c>
      <c r="D103" s="8" t="str">
        <f>IFERROR(VLOOKUP($B103,商品台帳!$A$4:$N$502,3,FALSE),"")</f>
        <v/>
      </c>
      <c r="E103" s="8" t="str">
        <f>IFERROR(VLOOKUP($B103,商品台帳!$A$4:$N$502,4,FALSE),"")</f>
        <v/>
      </c>
      <c r="F103" s="8" t="str">
        <f>IFERROR(VLOOKUP($B103,商品台帳!$A$4:$N$502,5,FALSE),"")</f>
        <v/>
      </c>
      <c r="G103" s="8" t="str">
        <f>IFERROR(VLOOKUP($B103,商品台帳!$A$4:$N$502,6,FALSE),"")</f>
        <v/>
      </c>
      <c r="H103" s="8" t="str">
        <f>IFERROR(VLOOKUP($B103,商品台帳!$A$4:$N$502,7,FALSE),"")</f>
        <v/>
      </c>
      <c r="I103" s="8" t="str">
        <f>IFERROR(VLOOKUP($B103,商品台帳!$A$4:$N$502,8,FALSE),"")</f>
        <v/>
      </c>
      <c r="J103" s="8" t="str">
        <f>IFERROR(VLOOKUP($B103,商品台帳!$A$4:$N$502,9,FALSE),"")</f>
        <v/>
      </c>
      <c r="K103" s="8" t="str">
        <f>IFERROR(VLOOKUP($B103,商品台帳!$A$4:$N$502,10,FALSE),"")</f>
        <v/>
      </c>
      <c r="L103" s="8" t="str">
        <f>IFERROR(VLOOKUP($B103,商品台帳!$A$4:$N$502,11,FALSE),"")</f>
        <v/>
      </c>
      <c r="M103" s="8" t="str">
        <f>IFERROR(VLOOKUP($B103,商品台帳!$A$4:$N$502,12,FALSE),"")</f>
        <v/>
      </c>
      <c r="N103" s="8" t="str">
        <f>IFERROR(VLOOKUP($B103,商品台帳!$A$4:$N$502,13,FALSE),"")</f>
        <v/>
      </c>
      <c r="O103" s="8" t="str">
        <f>IFERROR(VLOOKUP($B103,商品台帳!$A$4:$N$502,14,FALSE),"")</f>
        <v/>
      </c>
    </row>
  </sheetData>
  <autoFilter ref="A3:O103"/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H600"/>
  <sheetViews>
    <sheetView view="pageBreakPreview" zoomScale="85" zoomScaleNormal="100" zoomScaleSheetLayoutView="85" workbookViewId="0"/>
  </sheetViews>
  <sheetFormatPr defaultColWidth="2.625" defaultRowHeight="14.25" customHeight="1"/>
  <cols>
    <col min="1" max="1" width="2.625" style="12"/>
    <col min="2" max="2" width="2.625" style="12" customWidth="1"/>
    <col min="3" max="7" width="2.625" style="12"/>
    <col min="8" max="8" width="2.625" style="12" customWidth="1"/>
    <col min="9" max="18" width="2.625" style="12"/>
    <col min="19" max="19" width="2.625" style="12" customWidth="1"/>
    <col min="20" max="24" width="2.625" style="12"/>
    <col min="25" max="25" width="2.625" style="12" customWidth="1"/>
    <col min="26" max="16384" width="2.625" style="12"/>
  </cols>
  <sheetData>
    <row r="1" spans="1:34" ht="14.25" customHeight="1">
      <c r="A1" s="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0"/>
      <c r="R1" s="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0"/>
    </row>
    <row r="2" spans="1:34" ht="14.25" customHeight="1">
      <c r="A2" s="11"/>
      <c r="B2" s="22" t="str">
        <f>印刷シート!$O4</f>
        <v/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13"/>
      <c r="R2" s="11"/>
      <c r="S2" s="22" t="str">
        <f>印刷シート!$O5</f>
        <v/>
      </c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13"/>
    </row>
    <row r="3" spans="1:34" ht="14.25" customHeight="1">
      <c r="A3" s="1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13"/>
      <c r="R3" s="11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13"/>
    </row>
    <row r="4" spans="1:34" ht="14.25" customHeight="1">
      <c r="A4" s="1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13"/>
      <c r="R4" s="11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13"/>
    </row>
    <row r="5" spans="1:34" ht="14.25" customHeight="1">
      <c r="A5" s="11"/>
      <c r="B5" s="12" t="str">
        <f>印刷シート!$D4</f>
        <v/>
      </c>
      <c r="Q5" s="13"/>
      <c r="R5" s="11"/>
      <c r="S5" s="12" t="str">
        <f>印刷シート!$D5</f>
        <v/>
      </c>
      <c r="AH5" s="13"/>
    </row>
    <row r="6" spans="1:34" ht="14.25" customHeight="1">
      <c r="A6" s="11"/>
      <c r="B6" s="12" t="str">
        <f>印刷シート!$C4</f>
        <v/>
      </c>
      <c r="Q6" s="13"/>
      <c r="R6" s="11"/>
      <c r="S6" s="12" t="str">
        <f>印刷シート!$C5</f>
        <v/>
      </c>
      <c r="AH6" s="13"/>
    </row>
    <row r="7" spans="1:34" ht="14.25" customHeight="1">
      <c r="A7" s="11"/>
      <c r="B7" s="12" t="str">
        <f>"規格"</f>
        <v>規格</v>
      </c>
      <c r="H7" s="12" t="str">
        <f>印刷シート!$G4 &amp; 印刷シート!$H4</f>
        <v/>
      </c>
      <c r="Q7" s="13"/>
      <c r="R7" s="11"/>
      <c r="S7" s="12" t="str">
        <f>"規格"</f>
        <v>規格</v>
      </c>
      <c r="Y7" s="12" t="str">
        <f>印刷シート!$G5 &amp; 印刷シート!$H5</f>
        <v/>
      </c>
      <c r="AH7" s="13"/>
    </row>
    <row r="8" spans="1:34" ht="14.25" customHeight="1">
      <c r="A8" s="11"/>
      <c r="B8" s="12" t="str">
        <f>"参考価格"</f>
        <v>参考価格</v>
      </c>
      <c r="H8" s="12" t="str">
        <f>印刷シート!$I4 &amp; "円"</f>
        <v>円</v>
      </c>
      <c r="Q8" s="13"/>
      <c r="R8" s="11"/>
      <c r="S8" s="12" t="str">
        <f>"参考価格"</f>
        <v>参考価格</v>
      </c>
      <c r="Y8" s="12" t="str">
        <f>印刷シート!$I5 &amp; "円"</f>
        <v>円</v>
      </c>
      <c r="AH8" s="13"/>
    </row>
    <row r="9" spans="1:34" ht="14.25" customHeight="1">
      <c r="A9" s="18"/>
      <c r="B9" s="23" t="str">
        <f>IF(LEN(印刷シート!$B4)&gt;=7, Jan(印刷シート!$B4), "")</f>
        <v/>
      </c>
      <c r="C9" s="23"/>
      <c r="D9" s="23"/>
      <c r="E9" s="23"/>
      <c r="F9" s="23"/>
      <c r="G9" s="23"/>
      <c r="H9" s="23"/>
      <c r="I9" s="23"/>
      <c r="J9" s="23"/>
      <c r="K9" s="23"/>
      <c r="L9" s="24" t="str">
        <f>印刷シート!$K4</f>
        <v/>
      </c>
      <c r="M9" s="24"/>
      <c r="N9" s="24"/>
      <c r="Q9" s="13"/>
      <c r="R9" s="18"/>
      <c r="S9" s="23" t="str">
        <f>IF(LEN(印刷シート!$B5)&gt;=7, Jan(印刷シート!$B5), "")</f>
        <v/>
      </c>
      <c r="T9" s="23"/>
      <c r="U9" s="23"/>
      <c r="V9" s="23"/>
      <c r="W9" s="23"/>
      <c r="X9" s="23"/>
      <c r="Y9" s="23"/>
      <c r="Z9" s="23"/>
      <c r="AA9" s="23"/>
      <c r="AB9" s="23"/>
      <c r="AC9" s="24" t="str">
        <f>印刷シート!$K5</f>
        <v/>
      </c>
      <c r="AD9" s="24"/>
      <c r="AE9" s="24"/>
      <c r="AH9" s="13"/>
    </row>
    <row r="10" spans="1:34" ht="14.25" customHeight="1">
      <c r="A10" s="18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4"/>
      <c r="N10" s="24"/>
      <c r="Q10" s="13"/>
      <c r="R10" s="18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4"/>
      <c r="AD10" s="24"/>
      <c r="AE10" s="24"/>
      <c r="AH10" s="13"/>
    </row>
    <row r="11" spans="1:34" ht="14.25" customHeight="1">
      <c r="A11" s="18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4"/>
      <c r="M11" s="24"/>
      <c r="N11" s="24"/>
      <c r="O11" s="12" t="str">
        <f>"円＋税"</f>
        <v>円＋税</v>
      </c>
      <c r="Q11" s="13"/>
      <c r="R11" s="18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4"/>
      <c r="AD11" s="24"/>
      <c r="AE11" s="24"/>
      <c r="AF11" s="12" t="str">
        <f>"円＋税"</f>
        <v>円＋税</v>
      </c>
      <c r="AH11" s="13"/>
    </row>
    <row r="12" spans="1:34" ht="14.25" customHeight="1">
      <c r="A12" s="14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6"/>
      <c r="R12" s="14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6"/>
    </row>
    <row r="13" spans="1:34" ht="14.25" customHeight="1">
      <c r="A13" s="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0"/>
      <c r="R13" s="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0"/>
    </row>
    <row r="14" spans="1:34" ht="14.25" customHeight="1">
      <c r="A14" s="11"/>
      <c r="B14" s="22" t="str">
        <f>印刷シート!$O6</f>
        <v/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13"/>
      <c r="R14" s="11"/>
      <c r="S14" s="22" t="str">
        <f>印刷シート!$O7</f>
        <v/>
      </c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13"/>
    </row>
    <row r="15" spans="1:34" ht="14.25" customHeight="1">
      <c r="A15" s="1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13"/>
      <c r="R15" s="11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13"/>
    </row>
    <row r="16" spans="1:34" ht="14.25" customHeight="1">
      <c r="A16" s="1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13"/>
      <c r="R16" s="11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13"/>
    </row>
    <row r="17" spans="1:34" ht="14.25" customHeight="1">
      <c r="A17" s="11"/>
      <c r="B17" s="12" t="str">
        <f>印刷シート!$D6</f>
        <v/>
      </c>
      <c r="Q17" s="13"/>
      <c r="R17" s="11"/>
      <c r="S17" s="12" t="str">
        <f>印刷シート!$D7</f>
        <v/>
      </c>
      <c r="AH17" s="13"/>
    </row>
    <row r="18" spans="1:34" ht="14.25" customHeight="1">
      <c r="A18" s="11"/>
      <c r="B18" s="12" t="str">
        <f>印刷シート!$C6</f>
        <v/>
      </c>
      <c r="Q18" s="13"/>
      <c r="R18" s="11"/>
      <c r="S18" s="12" t="str">
        <f>印刷シート!$C7</f>
        <v/>
      </c>
      <c r="AH18" s="13"/>
    </row>
    <row r="19" spans="1:34" ht="14.25" customHeight="1">
      <c r="A19" s="11"/>
      <c r="B19" s="12" t="str">
        <f>"規格"</f>
        <v>規格</v>
      </c>
      <c r="H19" s="12" t="str">
        <f>印刷シート!$G6 &amp; 印刷シート!$H6</f>
        <v/>
      </c>
      <c r="Q19" s="13"/>
      <c r="R19" s="11"/>
      <c r="S19" s="12" t="str">
        <f>"規格"</f>
        <v>規格</v>
      </c>
      <c r="Y19" s="12" t="str">
        <f>印刷シート!$G7 &amp; 印刷シート!$H7</f>
        <v/>
      </c>
      <c r="AH19" s="13"/>
    </row>
    <row r="20" spans="1:34" ht="14.25" customHeight="1">
      <c r="A20" s="11"/>
      <c r="B20" s="12" t="str">
        <f>"参考価格"</f>
        <v>参考価格</v>
      </c>
      <c r="H20" s="12" t="str">
        <f>印刷シート!$I6 &amp; "円"</f>
        <v>円</v>
      </c>
      <c r="Q20" s="13"/>
      <c r="R20" s="11"/>
      <c r="S20" s="12" t="str">
        <f>"参考価格"</f>
        <v>参考価格</v>
      </c>
      <c r="Y20" s="12" t="str">
        <f>印刷シート!$I7 &amp; "円"</f>
        <v>円</v>
      </c>
      <c r="AH20" s="13"/>
    </row>
    <row r="21" spans="1:34" ht="14.25" customHeight="1">
      <c r="A21" s="18"/>
      <c r="B21" s="23" t="str">
        <f>IF(LEN(印刷シート!$B6)&gt;=7, Jan(印刷シート!$B6), "")</f>
        <v/>
      </c>
      <c r="C21" s="23"/>
      <c r="D21" s="23"/>
      <c r="E21" s="23"/>
      <c r="F21" s="23"/>
      <c r="G21" s="23"/>
      <c r="H21" s="23"/>
      <c r="I21" s="23"/>
      <c r="J21" s="23"/>
      <c r="K21" s="23"/>
      <c r="L21" s="24" t="str">
        <f>印刷シート!$K6</f>
        <v/>
      </c>
      <c r="M21" s="24"/>
      <c r="N21" s="24"/>
      <c r="Q21" s="13"/>
      <c r="R21" s="18"/>
      <c r="S21" s="23" t="str">
        <f>IF(LEN(印刷シート!$B7)&gt;=7, Jan(印刷シート!$B7), "")</f>
        <v/>
      </c>
      <c r="T21" s="23"/>
      <c r="U21" s="23"/>
      <c r="V21" s="23"/>
      <c r="W21" s="23"/>
      <c r="X21" s="23"/>
      <c r="Y21" s="23"/>
      <c r="Z21" s="23"/>
      <c r="AA21" s="23"/>
      <c r="AB21" s="23"/>
      <c r="AC21" s="24" t="str">
        <f>印刷シート!$K7</f>
        <v/>
      </c>
      <c r="AD21" s="24"/>
      <c r="AE21" s="24"/>
      <c r="AH21" s="13"/>
    </row>
    <row r="22" spans="1:34" ht="14.25" customHeight="1">
      <c r="A22" s="18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4"/>
      <c r="M22" s="24"/>
      <c r="N22" s="24"/>
      <c r="Q22" s="13"/>
      <c r="R22" s="18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4"/>
      <c r="AD22" s="24"/>
      <c r="AE22" s="24"/>
      <c r="AH22" s="13"/>
    </row>
    <row r="23" spans="1:34" ht="14.25" customHeight="1">
      <c r="A23" s="18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4"/>
      <c r="M23" s="24"/>
      <c r="N23" s="24"/>
      <c r="O23" s="12" t="str">
        <f>"円＋税"</f>
        <v>円＋税</v>
      </c>
      <c r="Q23" s="13"/>
      <c r="R23" s="18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4"/>
      <c r="AD23" s="24"/>
      <c r="AE23" s="24"/>
      <c r="AF23" s="12" t="str">
        <f>"円＋税"</f>
        <v>円＋税</v>
      </c>
      <c r="AH23" s="13"/>
    </row>
    <row r="24" spans="1:34" ht="14.25" customHeight="1">
      <c r="A24" s="14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6"/>
      <c r="R24" s="14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6"/>
    </row>
    <row r="25" spans="1:34" ht="14.25" customHeight="1">
      <c r="A25" s="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0"/>
      <c r="R25" s="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0"/>
    </row>
    <row r="26" spans="1:34" ht="14.25" customHeight="1">
      <c r="A26" s="11"/>
      <c r="B26" s="22" t="str">
        <f>印刷シート!$O8</f>
        <v/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13"/>
      <c r="R26" s="11"/>
      <c r="S26" s="22" t="str">
        <f>印刷シート!$O9</f>
        <v/>
      </c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13"/>
    </row>
    <row r="27" spans="1:34" ht="14.25" customHeight="1">
      <c r="A27" s="1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13"/>
      <c r="R27" s="11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13"/>
    </row>
    <row r="28" spans="1:34" ht="14.25" customHeight="1">
      <c r="A28" s="1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13"/>
      <c r="R28" s="11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13"/>
    </row>
    <row r="29" spans="1:34" ht="14.25" customHeight="1">
      <c r="A29" s="11"/>
      <c r="B29" s="12" t="str">
        <f>印刷シート!$D8</f>
        <v/>
      </c>
      <c r="Q29" s="13"/>
      <c r="R29" s="11"/>
      <c r="S29" s="12" t="str">
        <f>印刷シート!$D9</f>
        <v/>
      </c>
      <c r="AH29" s="13"/>
    </row>
    <row r="30" spans="1:34" ht="14.25" customHeight="1">
      <c r="A30" s="11"/>
      <c r="B30" s="12" t="str">
        <f>印刷シート!$C8</f>
        <v/>
      </c>
      <c r="Q30" s="13"/>
      <c r="R30" s="11"/>
      <c r="S30" s="12" t="str">
        <f>印刷シート!$C9</f>
        <v/>
      </c>
      <c r="AH30" s="13"/>
    </row>
    <row r="31" spans="1:34" ht="14.25" customHeight="1">
      <c r="A31" s="11"/>
      <c r="B31" s="12" t="str">
        <f>"規格"</f>
        <v>規格</v>
      </c>
      <c r="H31" s="12" t="str">
        <f>印刷シート!$G8 &amp; 印刷シート!$H8</f>
        <v/>
      </c>
      <c r="Q31" s="13"/>
      <c r="R31" s="11"/>
      <c r="S31" s="12" t="str">
        <f>"規格"</f>
        <v>規格</v>
      </c>
      <c r="Y31" s="12" t="str">
        <f>印刷シート!$G9 &amp; 印刷シート!$H9</f>
        <v/>
      </c>
      <c r="AH31" s="13"/>
    </row>
    <row r="32" spans="1:34" ht="14.25" customHeight="1">
      <c r="A32" s="11"/>
      <c r="B32" s="12" t="str">
        <f>"参考価格"</f>
        <v>参考価格</v>
      </c>
      <c r="H32" s="12" t="str">
        <f>印刷シート!$I8 &amp; "円"</f>
        <v>円</v>
      </c>
      <c r="Q32" s="13"/>
      <c r="R32" s="11"/>
      <c r="S32" s="12" t="str">
        <f>"参考価格"</f>
        <v>参考価格</v>
      </c>
      <c r="Y32" s="12" t="str">
        <f>印刷シート!$I9 &amp; "円"</f>
        <v>円</v>
      </c>
      <c r="AH32" s="13"/>
    </row>
    <row r="33" spans="1:34" ht="14.25" customHeight="1">
      <c r="A33" s="18"/>
      <c r="B33" s="23" t="str">
        <f>IF(LEN(印刷シート!$B8)&gt;=7, Jan(印刷シート!$B8), "")</f>
        <v/>
      </c>
      <c r="C33" s="23"/>
      <c r="D33" s="23"/>
      <c r="E33" s="23"/>
      <c r="F33" s="23"/>
      <c r="G33" s="23"/>
      <c r="H33" s="23"/>
      <c r="I33" s="23"/>
      <c r="J33" s="23"/>
      <c r="K33" s="23"/>
      <c r="L33" s="24" t="str">
        <f>印刷シート!$K8</f>
        <v/>
      </c>
      <c r="M33" s="24"/>
      <c r="N33" s="24"/>
      <c r="Q33" s="13"/>
      <c r="R33" s="18"/>
      <c r="S33" s="23" t="str">
        <f>IF(LEN(印刷シート!$B9)&gt;=7, Jan(印刷シート!$B9), "")</f>
        <v/>
      </c>
      <c r="T33" s="23"/>
      <c r="U33" s="23"/>
      <c r="V33" s="23"/>
      <c r="W33" s="23"/>
      <c r="X33" s="23"/>
      <c r="Y33" s="23"/>
      <c r="Z33" s="23"/>
      <c r="AA33" s="23"/>
      <c r="AB33" s="23"/>
      <c r="AC33" s="24" t="str">
        <f>印刷シート!$K9</f>
        <v/>
      </c>
      <c r="AD33" s="24"/>
      <c r="AE33" s="24"/>
      <c r="AH33" s="13"/>
    </row>
    <row r="34" spans="1:34" ht="14.25" customHeight="1">
      <c r="A34" s="18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4"/>
      <c r="M34" s="24"/>
      <c r="N34" s="24"/>
      <c r="Q34" s="13"/>
      <c r="R34" s="18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4"/>
      <c r="AD34" s="24"/>
      <c r="AE34" s="24"/>
      <c r="AH34" s="13"/>
    </row>
    <row r="35" spans="1:34" ht="14.25" customHeight="1">
      <c r="A35" s="18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4"/>
      <c r="M35" s="24"/>
      <c r="N35" s="24"/>
      <c r="O35" s="12" t="str">
        <f>"円＋税"</f>
        <v>円＋税</v>
      </c>
      <c r="Q35" s="13"/>
      <c r="R35" s="18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4"/>
      <c r="AD35" s="24"/>
      <c r="AE35" s="24"/>
      <c r="AF35" s="12" t="str">
        <f>"円＋税"</f>
        <v>円＋税</v>
      </c>
      <c r="AH35" s="13"/>
    </row>
    <row r="36" spans="1:34" ht="14.25" customHeight="1">
      <c r="A36" s="14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6"/>
      <c r="R36" s="14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6"/>
    </row>
    <row r="37" spans="1:34" ht="14.25" customHeight="1">
      <c r="A37" s="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0"/>
      <c r="R37" s="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0"/>
    </row>
    <row r="38" spans="1:34" ht="14.25" customHeight="1">
      <c r="A38" s="11"/>
      <c r="B38" s="22" t="str">
        <f>印刷シート!$O10</f>
        <v/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13"/>
      <c r="R38" s="11"/>
      <c r="S38" s="22" t="str">
        <f>印刷シート!$O11</f>
        <v/>
      </c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13"/>
    </row>
    <row r="39" spans="1:34" ht="14.25" customHeight="1">
      <c r="A39" s="1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13"/>
      <c r="R39" s="11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13"/>
    </row>
    <row r="40" spans="1:34" ht="14.25" customHeight="1">
      <c r="A40" s="11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13"/>
      <c r="R40" s="11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13"/>
    </row>
    <row r="41" spans="1:34" ht="14.25" customHeight="1">
      <c r="A41" s="11"/>
      <c r="B41" s="12" t="str">
        <f>印刷シート!$D10</f>
        <v/>
      </c>
      <c r="Q41" s="13"/>
      <c r="R41" s="11"/>
      <c r="S41" s="12" t="str">
        <f>印刷シート!$D11</f>
        <v/>
      </c>
      <c r="AH41" s="13"/>
    </row>
    <row r="42" spans="1:34" ht="14.25" customHeight="1">
      <c r="A42" s="11"/>
      <c r="B42" s="12" t="str">
        <f>印刷シート!$C10</f>
        <v/>
      </c>
      <c r="Q42" s="13"/>
      <c r="R42" s="11"/>
      <c r="S42" s="12" t="str">
        <f>印刷シート!$C11</f>
        <v/>
      </c>
      <c r="AH42" s="13"/>
    </row>
    <row r="43" spans="1:34" ht="14.25" customHeight="1">
      <c r="A43" s="11"/>
      <c r="B43" s="12" t="str">
        <f>"規格"</f>
        <v>規格</v>
      </c>
      <c r="H43" s="12" t="str">
        <f>印刷シート!$G10 &amp; 印刷シート!$H10</f>
        <v/>
      </c>
      <c r="Q43" s="13"/>
      <c r="R43" s="11"/>
      <c r="S43" s="12" t="str">
        <f>"規格"</f>
        <v>規格</v>
      </c>
      <c r="Y43" s="12" t="str">
        <f>印刷シート!$G11 &amp; 印刷シート!$H11</f>
        <v/>
      </c>
      <c r="AH43" s="13"/>
    </row>
    <row r="44" spans="1:34" ht="14.25" customHeight="1">
      <c r="A44" s="11"/>
      <c r="B44" s="12" t="str">
        <f>"参考価格"</f>
        <v>参考価格</v>
      </c>
      <c r="H44" s="12" t="str">
        <f>印刷シート!$I10 &amp; "円"</f>
        <v>円</v>
      </c>
      <c r="Q44" s="13"/>
      <c r="R44" s="11"/>
      <c r="S44" s="12" t="str">
        <f>"参考価格"</f>
        <v>参考価格</v>
      </c>
      <c r="Y44" s="12" t="str">
        <f>印刷シート!$I11 &amp; "円"</f>
        <v>円</v>
      </c>
      <c r="AH44" s="13"/>
    </row>
    <row r="45" spans="1:34" ht="14.25" customHeight="1">
      <c r="A45" s="18"/>
      <c r="B45" s="23" t="str">
        <f>IF(LEN(印刷シート!$B10)&gt;=7, Jan(印刷シート!$B10), "")</f>
        <v/>
      </c>
      <c r="C45" s="23"/>
      <c r="D45" s="23"/>
      <c r="E45" s="23"/>
      <c r="F45" s="23"/>
      <c r="G45" s="23"/>
      <c r="H45" s="23"/>
      <c r="I45" s="23"/>
      <c r="J45" s="23"/>
      <c r="K45" s="23"/>
      <c r="L45" s="24" t="str">
        <f>印刷シート!$K10</f>
        <v/>
      </c>
      <c r="M45" s="24"/>
      <c r="N45" s="24"/>
      <c r="Q45" s="13"/>
      <c r="R45" s="18"/>
      <c r="S45" s="23" t="str">
        <f>IF(LEN(印刷シート!$B11)&gt;=7, Jan(印刷シート!$B11), "")</f>
        <v/>
      </c>
      <c r="T45" s="23"/>
      <c r="U45" s="23"/>
      <c r="V45" s="23"/>
      <c r="W45" s="23"/>
      <c r="X45" s="23"/>
      <c r="Y45" s="23"/>
      <c r="Z45" s="23"/>
      <c r="AA45" s="23"/>
      <c r="AB45" s="23"/>
      <c r="AC45" s="24" t="str">
        <f>印刷シート!$K11</f>
        <v/>
      </c>
      <c r="AD45" s="24"/>
      <c r="AE45" s="24"/>
      <c r="AH45" s="13"/>
    </row>
    <row r="46" spans="1:34" ht="14.25" customHeight="1">
      <c r="A46" s="18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4"/>
      <c r="M46" s="24"/>
      <c r="N46" s="24"/>
      <c r="Q46" s="13"/>
      <c r="R46" s="18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4"/>
      <c r="AD46" s="24"/>
      <c r="AE46" s="24"/>
      <c r="AH46" s="13"/>
    </row>
    <row r="47" spans="1:34" ht="14.25" customHeight="1">
      <c r="A47" s="18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4"/>
      <c r="M47" s="24"/>
      <c r="N47" s="24"/>
      <c r="O47" s="12" t="str">
        <f>"円＋税"</f>
        <v>円＋税</v>
      </c>
      <c r="Q47" s="13"/>
      <c r="R47" s="18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4"/>
      <c r="AE47" s="24"/>
      <c r="AF47" s="12" t="str">
        <f>"円＋税"</f>
        <v>円＋税</v>
      </c>
      <c r="AH47" s="13"/>
    </row>
    <row r="48" spans="1:34" ht="14.25" customHeight="1">
      <c r="A48" s="14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6"/>
      <c r="R48" s="14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6"/>
    </row>
    <row r="49" spans="1:34" ht="14.25" customHeight="1">
      <c r="A49" s="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0"/>
      <c r="R49" s="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0"/>
    </row>
    <row r="50" spans="1:34" ht="14.25" customHeight="1">
      <c r="A50" s="11"/>
      <c r="B50" s="22" t="str">
        <f>印刷シート!$O12</f>
        <v/>
      </c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13"/>
      <c r="R50" s="11"/>
      <c r="S50" s="22" t="str">
        <f>印刷シート!$O13</f>
        <v/>
      </c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13"/>
    </row>
    <row r="51" spans="1:34" ht="14.25" customHeight="1">
      <c r="A51" s="1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13"/>
      <c r="R51" s="11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13"/>
    </row>
    <row r="52" spans="1:34" ht="14.25" customHeight="1">
      <c r="A52" s="11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13"/>
      <c r="R52" s="11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13"/>
    </row>
    <row r="53" spans="1:34" ht="14.25" customHeight="1">
      <c r="A53" s="11"/>
      <c r="B53" s="12" t="str">
        <f>印刷シート!$D12</f>
        <v/>
      </c>
      <c r="Q53" s="13"/>
      <c r="R53" s="11"/>
      <c r="S53" s="12" t="str">
        <f>印刷シート!$D13</f>
        <v/>
      </c>
      <c r="AH53" s="13"/>
    </row>
    <row r="54" spans="1:34" ht="14.25" customHeight="1">
      <c r="A54" s="11"/>
      <c r="B54" s="12" t="str">
        <f>印刷シート!$C12</f>
        <v/>
      </c>
      <c r="Q54" s="13"/>
      <c r="R54" s="11"/>
      <c r="S54" s="12" t="str">
        <f>印刷シート!$C13</f>
        <v/>
      </c>
      <c r="AH54" s="13"/>
    </row>
    <row r="55" spans="1:34" ht="14.25" customHeight="1">
      <c r="A55" s="11"/>
      <c r="B55" s="12" t="str">
        <f>"規格"</f>
        <v>規格</v>
      </c>
      <c r="H55" s="12" t="str">
        <f>印刷シート!$G12 &amp; 印刷シート!$H12</f>
        <v/>
      </c>
      <c r="Q55" s="13"/>
      <c r="R55" s="11"/>
      <c r="S55" s="12" t="str">
        <f>"規格"</f>
        <v>規格</v>
      </c>
      <c r="Y55" s="12" t="str">
        <f>印刷シート!$G13 &amp; 印刷シート!$H13</f>
        <v/>
      </c>
      <c r="AH55" s="13"/>
    </row>
    <row r="56" spans="1:34" ht="14.25" customHeight="1">
      <c r="A56" s="11"/>
      <c r="B56" s="12" t="str">
        <f>"参考価格"</f>
        <v>参考価格</v>
      </c>
      <c r="H56" s="12" t="str">
        <f>印刷シート!$I12 &amp; "円"</f>
        <v>円</v>
      </c>
      <c r="Q56" s="13"/>
      <c r="R56" s="11"/>
      <c r="S56" s="12" t="str">
        <f>"参考価格"</f>
        <v>参考価格</v>
      </c>
      <c r="Y56" s="12" t="str">
        <f>印刷シート!$I13 &amp; "円"</f>
        <v>円</v>
      </c>
      <c r="AH56" s="13"/>
    </row>
    <row r="57" spans="1:34" ht="14.25" customHeight="1">
      <c r="A57" s="18"/>
      <c r="B57" s="23" t="str">
        <f>IF(LEN(印刷シート!$B12)&gt;=7, Jan(印刷シート!$B12), "")</f>
        <v/>
      </c>
      <c r="C57" s="23"/>
      <c r="D57" s="23"/>
      <c r="E57" s="23"/>
      <c r="F57" s="23"/>
      <c r="G57" s="23"/>
      <c r="H57" s="23"/>
      <c r="I57" s="23"/>
      <c r="J57" s="23"/>
      <c r="K57" s="23"/>
      <c r="L57" s="24" t="str">
        <f>印刷シート!$K12</f>
        <v/>
      </c>
      <c r="M57" s="24"/>
      <c r="N57" s="24"/>
      <c r="Q57" s="13"/>
      <c r="R57" s="18"/>
      <c r="S57" s="23" t="str">
        <f>IF(LEN(印刷シート!$B13)&gt;=7, Jan(印刷シート!$B13), "")</f>
        <v/>
      </c>
      <c r="T57" s="23"/>
      <c r="U57" s="23"/>
      <c r="V57" s="23"/>
      <c r="W57" s="23"/>
      <c r="X57" s="23"/>
      <c r="Y57" s="23"/>
      <c r="Z57" s="23"/>
      <c r="AA57" s="23"/>
      <c r="AB57" s="23"/>
      <c r="AC57" s="24" t="str">
        <f>印刷シート!$K13</f>
        <v/>
      </c>
      <c r="AD57" s="24"/>
      <c r="AE57" s="24"/>
      <c r="AH57" s="13"/>
    </row>
    <row r="58" spans="1:34" ht="14.25" customHeight="1">
      <c r="A58" s="18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4"/>
      <c r="M58" s="24"/>
      <c r="N58" s="24"/>
      <c r="Q58" s="13"/>
      <c r="R58" s="18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4"/>
      <c r="AD58" s="24"/>
      <c r="AE58" s="24"/>
      <c r="AH58" s="13"/>
    </row>
    <row r="59" spans="1:34" ht="14.25" customHeight="1">
      <c r="A59" s="18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4"/>
      <c r="M59" s="24"/>
      <c r="N59" s="24"/>
      <c r="O59" s="12" t="str">
        <f>"円＋税"</f>
        <v>円＋税</v>
      </c>
      <c r="Q59" s="13"/>
      <c r="R59" s="18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4"/>
      <c r="AD59" s="24"/>
      <c r="AE59" s="24"/>
      <c r="AF59" s="12" t="str">
        <f>"円＋税"</f>
        <v>円＋税</v>
      </c>
      <c r="AH59" s="13"/>
    </row>
    <row r="60" spans="1:34" ht="14.25" customHeight="1">
      <c r="A60" s="14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6"/>
      <c r="R60" s="14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6"/>
    </row>
    <row r="61" spans="1:34" ht="14.25" customHeight="1">
      <c r="A61" s="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0"/>
      <c r="R61" s="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0"/>
    </row>
    <row r="62" spans="1:34" ht="14.25" customHeight="1">
      <c r="A62" s="11"/>
      <c r="B62" s="22" t="str">
        <f>印刷シート!$O14</f>
        <v/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13"/>
      <c r="R62" s="11"/>
      <c r="S62" s="22" t="str">
        <f>印刷シート!$O15</f>
        <v/>
      </c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13"/>
    </row>
    <row r="63" spans="1:34" ht="14.25" customHeight="1">
      <c r="A63" s="1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13"/>
      <c r="R63" s="11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13"/>
    </row>
    <row r="64" spans="1:34" ht="14.25" customHeight="1">
      <c r="A64" s="11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13"/>
      <c r="R64" s="11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13"/>
    </row>
    <row r="65" spans="1:34" ht="14.25" customHeight="1">
      <c r="A65" s="11"/>
      <c r="B65" s="12" t="str">
        <f>印刷シート!$D14</f>
        <v/>
      </c>
      <c r="Q65" s="13"/>
      <c r="R65" s="11"/>
      <c r="S65" s="12" t="str">
        <f>印刷シート!$D15</f>
        <v/>
      </c>
      <c r="AH65" s="13"/>
    </row>
    <row r="66" spans="1:34" ht="14.25" customHeight="1">
      <c r="A66" s="11"/>
      <c r="B66" s="12" t="str">
        <f>印刷シート!$C14</f>
        <v/>
      </c>
      <c r="Q66" s="13"/>
      <c r="R66" s="11"/>
      <c r="S66" s="12" t="str">
        <f>印刷シート!$C15</f>
        <v/>
      </c>
      <c r="AH66" s="13"/>
    </row>
    <row r="67" spans="1:34" ht="14.25" customHeight="1">
      <c r="A67" s="11"/>
      <c r="B67" s="12" t="str">
        <f>"規格"</f>
        <v>規格</v>
      </c>
      <c r="H67" s="12" t="str">
        <f>印刷シート!$G14 &amp; 印刷シート!$H14</f>
        <v/>
      </c>
      <c r="Q67" s="13"/>
      <c r="R67" s="11"/>
      <c r="S67" s="12" t="str">
        <f>"規格"</f>
        <v>規格</v>
      </c>
      <c r="Y67" s="12" t="str">
        <f>印刷シート!$G15 &amp; 印刷シート!$H15</f>
        <v/>
      </c>
      <c r="AH67" s="13"/>
    </row>
    <row r="68" spans="1:34" ht="14.25" customHeight="1">
      <c r="A68" s="11"/>
      <c r="B68" s="12" t="str">
        <f>"参考価格"</f>
        <v>参考価格</v>
      </c>
      <c r="H68" s="12" t="str">
        <f>印刷シート!$I14 &amp; "円"</f>
        <v>円</v>
      </c>
      <c r="Q68" s="13"/>
      <c r="R68" s="11"/>
      <c r="S68" s="12" t="str">
        <f>"参考価格"</f>
        <v>参考価格</v>
      </c>
      <c r="Y68" s="12" t="str">
        <f>印刷シート!$I15 &amp; "円"</f>
        <v>円</v>
      </c>
      <c r="AH68" s="13"/>
    </row>
    <row r="69" spans="1:34" ht="14.25" customHeight="1">
      <c r="A69" s="18"/>
      <c r="B69" s="23" t="str">
        <f>IF(LEN(印刷シート!$B14)&gt;=7, Jan(印刷シート!$B14), "")</f>
        <v/>
      </c>
      <c r="C69" s="23"/>
      <c r="D69" s="23"/>
      <c r="E69" s="23"/>
      <c r="F69" s="23"/>
      <c r="G69" s="23"/>
      <c r="H69" s="23"/>
      <c r="I69" s="23"/>
      <c r="J69" s="23"/>
      <c r="K69" s="23"/>
      <c r="L69" s="24" t="str">
        <f>印刷シート!$K14</f>
        <v/>
      </c>
      <c r="M69" s="24"/>
      <c r="N69" s="24"/>
      <c r="Q69" s="13"/>
      <c r="R69" s="18"/>
      <c r="S69" s="23" t="str">
        <f>IF(LEN(印刷シート!$B15)&gt;=7, Jan(印刷シート!$B15), "")</f>
        <v/>
      </c>
      <c r="T69" s="23"/>
      <c r="U69" s="23"/>
      <c r="V69" s="23"/>
      <c r="W69" s="23"/>
      <c r="X69" s="23"/>
      <c r="Y69" s="23"/>
      <c r="Z69" s="23"/>
      <c r="AA69" s="23"/>
      <c r="AB69" s="23"/>
      <c r="AC69" s="24" t="str">
        <f>印刷シート!$K15</f>
        <v/>
      </c>
      <c r="AD69" s="24"/>
      <c r="AE69" s="24"/>
      <c r="AH69" s="13"/>
    </row>
    <row r="70" spans="1:34" ht="14.25" customHeight="1">
      <c r="A70" s="18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4"/>
      <c r="M70" s="24"/>
      <c r="N70" s="24"/>
      <c r="Q70" s="13"/>
      <c r="R70" s="18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4"/>
      <c r="AD70" s="24"/>
      <c r="AE70" s="24"/>
      <c r="AH70" s="13"/>
    </row>
    <row r="71" spans="1:34" ht="14.25" customHeight="1">
      <c r="A71" s="18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4"/>
      <c r="M71" s="24"/>
      <c r="N71" s="24"/>
      <c r="O71" s="12" t="str">
        <f>"円＋税"</f>
        <v>円＋税</v>
      </c>
      <c r="Q71" s="13"/>
      <c r="R71" s="18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4"/>
      <c r="AD71" s="24"/>
      <c r="AE71" s="24"/>
      <c r="AF71" s="12" t="str">
        <f>"円＋税"</f>
        <v>円＋税</v>
      </c>
      <c r="AH71" s="13"/>
    </row>
    <row r="72" spans="1:34" ht="14.25" customHeight="1">
      <c r="A72" s="14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6"/>
      <c r="R72" s="14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6"/>
    </row>
    <row r="73" spans="1:34" ht="14.25" customHeight="1">
      <c r="A73" s="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0"/>
      <c r="R73" s="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0"/>
    </row>
    <row r="74" spans="1:34" ht="14.25" customHeight="1">
      <c r="A74" s="11"/>
      <c r="B74" s="22" t="str">
        <f>印刷シート!$O16</f>
        <v/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13"/>
      <c r="R74" s="11"/>
      <c r="S74" s="22" t="str">
        <f>印刷シート!$O17</f>
        <v/>
      </c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13"/>
    </row>
    <row r="75" spans="1:34" ht="14.25" customHeight="1">
      <c r="A75" s="1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13"/>
      <c r="R75" s="11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13"/>
    </row>
    <row r="76" spans="1:34" ht="14.25" customHeight="1">
      <c r="A76" s="11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13"/>
      <c r="R76" s="11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13"/>
    </row>
    <row r="77" spans="1:34" ht="14.25" customHeight="1">
      <c r="A77" s="11"/>
      <c r="B77" s="12" t="str">
        <f>印刷シート!$D16</f>
        <v/>
      </c>
      <c r="Q77" s="13"/>
      <c r="R77" s="11"/>
      <c r="S77" s="12" t="str">
        <f>印刷シート!$D17</f>
        <v/>
      </c>
      <c r="AH77" s="13"/>
    </row>
    <row r="78" spans="1:34" ht="14.25" customHeight="1">
      <c r="A78" s="11"/>
      <c r="B78" s="12" t="str">
        <f>印刷シート!$C16</f>
        <v/>
      </c>
      <c r="Q78" s="13"/>
      <c r="R78" s="11"/>
      <c r="S78" s="12" t="str">
        <f>印刷シート!$C17</f>
        <v/>
      </c>
      <c r="AH78" s="13"/>
    </row>
    <row r="79" spans="1:34" ht="14.25" customHeight="1">
      <c r="A79" s="11"/>
      <c r="B79" s="12" t="str">
        <f>"規格"</f>
        <v>規格</v>
      </c>
      <c r="H79" s="12" t="str">
        <f>印刷シート!$G16 &amp; 印刷シート!$H16</f>
        <v/>
      </c>
      <c r="Q79" s="13"/>
      <c r="R79" s="11"/>
      <c r="S79" s="12" t="str">
        <f>"規格"</f>
        <v>規格</v>
      </c>
      <c r="Y79" s="12" t="str">
        <f>印刷シート!$G17 &amp; 印刷シート!$H17</f>
        <v/>
      </c>
      <c r="AH79" s="13"/>
    </row>
    <row r="80" spans="1:34" ht="14.25" customHeight="1">
      <c r="A80" s="11"/>
      <c r="B80" s="12" t="str">
        <f>"参考価格"</f>
        <v>参考価格</v>
      </c>
      <c r="H80" s="12" t="str">
        <f>印刷シート!$I16 &amp; "円"</f>
        <v>円</v>
      </c>
      <c r="Q80" s="13"/>
      <c r="R80" s="11"/>
      <c r="S80" s="12" t="str">
        <f>"参考価格"</f>
        <v>参考価格</v>
      </c>
      <c r="Y80" s="12" t="str">
        <f>印刷シート!$I17 &amp; "円"</f>
        <v>円</v>
      </c>
      <c r="AH80" s="13"/>
    </row>
    <row r="81" spans="1:34" ht="14.25" customHeight="1">
      <c r="A81" s="18"/>
      <c r="B81" s="23" t="str">
        <f>IF(LEN(印刷シート!$B16)&gt;=7, Jan(印刷シート!$B16), "")</f>
        <v/>
      </c>
      <c r="C81" s="23"/>
      <c r="D81" s="23"/>
      <c r="E81" s="23"/>
      <c r="F81" s="23"/>
      <c r="G81" s="23"/>
      <c r="H81" s="23"/>
      <c r="I81" s="23"/>
      <c r="J81" s="23"/>
      <c r="K81" s="23"/>
      <c r="L81" s="24" t="str">
        <f>印刷シート!$K16</f>
        <v/>
      </c>
      <c r="M81" s="24"/>
      <c r="N81" s="24"/>
      <c r="Q81" s="13"/>
      <c r="R81" s="18"/>
      <c r="S81" s="23" t="str">
        <f>IF(LEN(印刷シート!$B17)&gt;=7, Jan(印刷シート!$B17), "")</f>
        <v/>
      </c>
      <c r="T81" s="23"/>
      <c r="U81" s="23"/>
      <c r="V81" s="23"/>
      <c r="W81" s="23"/>
      <c r="X81" s="23"/>
      <c r="Y81" s="23"/>
      <c r="Z81" s="23"/>
      <c r="AA81" s="23"/>
      <c r="AB81" s="23"/>
      <c r="AC81" s="24" t="str">
        <f>印刷シート!$K17</f>
        <v/>
      </c>
      <c r="AD81" s="24"/>
      <c r="AE81" s="24"/>
      <c r="AH81" s="13"/>
    </row>
    <row r="82" spans="1:34" ht="14.25" customHeight="1">
      <c r="A82" s="18"/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4"/>
      <c r="M82" s="24"/>
      <c r="N82" s="24"/>
      <c r="Q82" s="13"/>
      <c r="R82" s="18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4"/>
      <c r="AD82" s="24"/>
      <c r="AE82" s="24"/>
      <c r="AH82" s="13"/>
    </row>
    <row r="83" spans="1:34" ht="14.25" customHeight="1">
      <c r="A83" s="18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4"/>
      <c r="M83" s="24"/>
      <c r="N83" s="24"/>
      <c r="O83" s="12" t="str">
        <f>"円＋税"</f>
        <v>円＋税</v>
      </c>
      <c r="Q83" s="13"/>
      <c r="R83" s="18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4"/>
      <c r="AD83" s="24"/>
      <c r="AE83" s="24"/>
      <c r="AF83" s="12" t="str">
        <f>"円＋税"</f>
        <v>円＋税</v>
      </c>
      <c r="AH83" s="13"/>
    </row>
    <row r="84" spans="1:34" ht="14.25" customHeight="1">
      <c r="A84" s="14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6"/>
      <c r="R84" s="14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6"/>
    </row>
    <row r="85" spans="1:34" ht="14.25" customHeight="1">
      <c r="A85" s="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0"/>
      <c r="R85" s="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0"/>
    </row>
    <row r="86" spans="1:34" ht="14.25" customHeight="1">
      <c r="A86" s="11"/>
      <c r="B86" s="22" t="str">
        <f>印刷シート!$O18</f>
        <v/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13"/>
      <c r="R86" s="11"/>
      <c r="S86" s="22" t="str">
        <f>印刷シート!$O19</f>
        <v/>
      </c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13"/>
    </row>
    <row r="87" spans="1:34" ht="14.25" customHeight="1">
      <c r="A87" s="1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13"/>
      <c r="R87" s="11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13"/>
    </row>
    <row r="88" spans="1:34" ht="14.25" customHeight="1">
      <c r="A88" s="11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13"/>
      <c r="R88" s="11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13"/>
    </row>
    <row r="89" spans="1:34" ht="14.25" customHeight="1">
      <c r="A89" s="11"/>
      <c r="B89" s="12" t="str">
        <f>印刷シート!$D18</f>
        <v/>
      </c>
      <c r="Q89" s="13"/>
      <c r="R89" s="11"/>
      <c r="S89" s="12" t="str">
        <f>印刷シート!$D19</f>
        <v/>
      </c>
      <c r="AH89" s="13"/>
    </row>
    <row r="90" spans="1:34" ht="14.25" customHeight="1">
      <c r="A90" s="11"/>
      <c r="B90" s="12" t="str">
        <f>印刷シート!$C18</f>
        <v/>
      </c>
      <c r="Q90" s="13"/>
      <c r="R90" s="11"/>
      <c r="S90" s="12" t="str">
        <f>印刷シート!$C19</f>
        <v/>
      </c>
      <c r="AH90" s="13"/>
    </row>
    <row r="91" spans="1:34" ht="14.25" customHeight="1">
      <c r="A91" s="11"/>
      <c r="B91" s="12" t="str">
        <f>"規格"</f>
        <v>規格</v>
      </c>
      <c r="H91" s="12" t="str">
        <f>印刷シート!$G18 &amp; 印刷シート!$H18</f>
        <v/>
      </c>
      <c r="Q91" s="13"/>
      <c r="R91" s="11"/>
      <c r="S91" s="12" t="str">
        <f>"規格"</f>
        <v>規格</v>
      </c>
      <c r="Y91" s="12" t="str">
        <f>印刷シート!$G19 &amp; 印刷シート!$H19</f>
        <v/>
      </c>
      <c r="AH91" s="13"/>
    </row>
    <row r="92" spans="1:34" ht="14.25" customHeight="1">
      <c r="A92" s="11"/>
      <c r="B92" s="12" t="str">
        <f>"参考価格"</f>
        <v>参考価格</v>
      </c>
      <c r="H92" s="12" t="str">
        <f>印刷シート!$I18 &amp; "円"</f>
        <v>円</v>
      </c>
      <c r="Q92" s="13"/>
      <c r="R92" s="11"/>
      <c r="S92" s="12" t="str">
        <f>"参考価格"</f>
        <v>参考価格</v>
      </c>
      <c r="Y92" s="12" t="str">
        <f>印刷シート!$I19 &amp; "円"</f>
        <v>円</v>
      </c>
      <c r="AH92" s="13"/>
    </row>
    <row r="93" spans="1:34" ht="14.25" customHeight="1">
      <c r="A93" s="18"/>
      <c r="B93" s="23" t="str">
        <f>IF(LEN(印刷シート!$B18)&gt;=7, Jan(印刷シート!$B18), "")</f>
        <v/>
      </c>
      <c r="C93" s="23"/>
      <c r="D93" s="23"/>
      <c r="E93" s="23"/>
      <c r="F93" s="23"/>
      <c r="G93" s="23"/>
      <c r="H93" s="23"/>
      <c r="I93" s="23"/>
      <c r="J93" s="23"/>
      <c r="K93" s="23"/>
      <c r="L93" s="24" t="str">
        <f>印刷シート!$K18</f>
        <v/>
      </c>
      <c r="M93" s="24"/>
      <c r="N93" s="24"/>
      <c r="Q93" s="13"/>
      <c r="R93" s="18"/>
      <c r="S93" s="23" t="str">
        <f>IF(LEN(印刷シート!$B19)&gt;=7, Jan(印刷シート!$B19), "")</f>
        <v/>
      </c>
      <c r="T93" s="23"/>
      <c r="U93" s="23"/>
      <c r="V93" s="23"/>
      <c r="W93" s="23"/>
      <c r="X93" s="23"/>
      <c r="Y93" s="23"/>
      <c r="Z93" s="23"/>
      <c r="AA93" s="23"/>
      <c r="AB93" s="23"/>
      <c r="AC93" s="24" t="str">
        <f>印刷シート!$K19</f>
        <v/>
      </c>
      <c r="AD93" s="24"/>
      <c r="AE93" s="24"/>
      <c r="AH93" s="13"/>
    </row>
    <row r="94" spans="1:34" ht="14.25" customHeight="1">
      <c r="A94" s="18"/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4"/>
      <c r="M94" s="24"/>
      <c r="N94" s="24"/>
      <c r="Q94" s="13"/>
      <c r="R94" s="18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4"/>
      <c r="AD94" s="24"/>
      <c r="AE94" s="24"/>
      <c r="AH94" s="13"/>
    </row>
    <row r="95" spans="1:34" ht="14.25" customHeight="1">
      <c r="A95" s="18"/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4"/>
      <c r="M95" s="24"/>
      <c r="N95" s="24"/>
      <c r="O95" s="12" t="str">
        <f>"円＋税"</f>
        <v>円＋税</v>
      </c>
      <c r="Q95" s="13"/>
      <c r="R95" s="18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4"/>
      <c r="AD95" s="24"/>
      <c r="AE95" s="24"/>
      <c r="AF95" s="12" t="str">
        <f>"円＋税"</f>
        <v>円＋税</v>
      </c>
      <c r="AH95" s="13"/>
    </row>
    <row r="96" spans="1:34" ht="14.25" customHeight="1">
      <c r="A96" s="14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6"/>
      <c r="R96" s="14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6"/>
    </row>
    <row r="97" spans="1:34" ht="14.25" customHeight="1">
      <c r="A97" s="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0"/>
      <c r="R97" s="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0"/>
    </row>
    <row r="98" spans="1:34" ht="14.25" customHeight="1">
      <c r="A98" s="11"/>
      <c r="B98" s="22" t="str">
        <f>印刷シート!$O20</f>
        <v/>
      </c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13"/>
      <c r="R98" s="11"/>
      <c r="S98" s="22" t="str">
        <f>印刷シート!$O21</f>
        <v/>
      </c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13"/>
    </row>
    <row r="99" spans="1:34" ht="14.25" customHeight="1">
      <c r="A99" s="1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13"/>
      <c r="R99" s="11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13"/>
    </row>
    <row r="100" spans="1:34" ht="14.25" customHeight="1">
      <c r="A100" s="11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13"/>
      <c r="R100" s="11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13"/>
    </row>
    <row r="101" spans="1:34" ht="14.25" customHeight="1">
      <c r="A101" s="11"/>
      <c r="B101" s="12" t="str">
        <f>印刷シート!$D20</f>
        <v/>
      </c>
      <c r="Q101" s="13"/>
      <c r="R101" s="11"/>
      <c r="S101" s="12" t="str">
        <f>印刷シート!$D21</f>
        <v/>
      </c>
      <c r="AH101" s="13"/>
    </row>
    <row r="102" spans="1:34" ht="14.25" customHeight="1">
      <c r="A102" s="11"/>
      <c r="B102" s="12" t="str">
        <f>印刷シート!$C20</f>
        <v/>
      </c>
      <c r="Q102" s="13"/>
      <c r="R102" s="11"/>
      <c r="S102" s="12" t="str">
        <f>印刷シート!$C21</f>
        <v/>
      </c>
      <c r="AH102" s="13"/>
    </row>
    <row r="103" spans="1:34" ht="14.25" customHeight="1">
      <c r="A103" s="11"/>
      <c r="B103" s="12" t="str">
        <f>"規格"</f>
        <v>規格</v>
      </c>
      <c r="H103" s="12" t="str">
        <f>印刷シート!$G20 &amp; 印刷シート!$H20</f>
        <v/>
      </c>
      <c r="Q103" s="13"/>
      <c r="R103" s="11"/>
      <c r="S103" s="12" t="str">
        <f>"規格"</f>
        <v>規格</v>
      </c>
      <c r="Y103" s="12" t="str">
        <f>印刷シート!$G21 &amp; 印刷シート!$H21</f>
        <v/>
      </c>
      <c r="AH103" s="13"/>
    </row>
    <row r="104" spans="1:34" ht="14.25" customHeight="1">
      <c r="A104" s="11"/>
      <c r="B104" s="12" t="str">
        <f>"参考価格"</f>
        <v>参考価格</v>
      </c>
      <c r="H104" s="12" t="str">
        <f>印刷シート!$I20 &amp; "円"</f>
        <v>円</v>
      </c>
      <c r="Q104" s="13"/>
      <c r="R104" s="11"/>
      <c r="S104" s="12" t="str">
        <f>"参考価格"</f>
        <v>参考価格</v>
      </c>
      <c r="Y104" s="12" t="str">
        <f>印刷シート!$I21 &amp; "円"</f>
        <v>円</v>
      </c>
      <c r="AH104" s="13"/>
    </row>
    <row r="105" spans="1:34" ht="14.25" customHeight="1">
      <c r="A105" s="18"/>
      <c r="B105" s="23" t="str">
        <f>IF(LEN(印刷シート!$B20)&gt;=7, Jan(印刷シート!$B20), "")</f>
        <v/>
      </c>
      <c r="C105" s="23"/>
      <c r="D105" s="23"/>
      <c r="E105" s="23"/>
      <c r="F105" s="23"/>
      <c r="G105" s="23"/>
      <c r="H105" s="23"/>
      <c r="I105" s="23"/>
      <c r="J105" s="23"/>
      <c r="K105" s="23"/>
      <c r="L105" s="24" t="str">
        <f>印刷シート!$K20</f>
        <v/>
      </c>
      <c r="M105" s="24"/>
      <c r="N105" s="24"/>
      <c r="Q105" s="13"/>
      <c r="R105" s="18"/>
      <c r="S105" s="23" t="str">
        <f>IF(LEN(印刷シート!$B21)&gt;=7, Jan(印刷シート!$B21), "")</f>
        <v/>
      </c>
      <c r="T105" s="23"/>
      <c r="U105" s="23"/>
      <c r="V105" s="23"/>
      <c r="W105" s="23"/>
      <c r="X105" s="23"/>
      <c r="Y105" s="23"/>
      <c r="Z105" s="23"/>
      <c r="AA105" s="23"/>
      <c r="AB105" s="23"/>
      <c r="AC105" s="24" t="str">
        <f>印刷シート!$K21</f>
        <v/>
      </c>
      <c r="AD105" s="24"/>
      <c r="AE105" s="24"/>
      <c r="AH105" s="13"/>
    </row>
    <row r="106" spans="1:34" ht="14.25" customHeight="1">
      <c r="A106" s="18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4"/>
      <c r="M106" s="24"/>
      <c r="N106" s="24"/>
      <c r="Q106" s="13"/>
      <c r="R106" s="18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4"/>
      <c r="AD106" s="24"/>
      <c r="AE106" s="24"/>
      <c r="AH106" s="13"/>
    </row>
    <row r="107" spans="1:34" ht="14.25" customHeight="1">
      <c r="A107" s="18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4"/>
      <c r="M107" s="24"/>
      <c r="N107" s="24"/>
      <c r="O107" s="12" t="str">
        <f>"円＋税"</f>
        <v>円＋税</v>
      </c>
      <c r="Q107" s="13"/>
      <c r="R107" s="18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4"/>
      <c r="AD107" s="24"/>
      <c r="AE107" s="24"/>
      <c r="AF107" s="12" t="str">
        <f>"円＋税"</f>
        <v>円＋税</v>
      </c>
      <c r="AH107" s="13"/>
    </row>
    <row r="108" spans="1:34" ht="14.25" customHeight="1">
      <c r="A108" s="14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6"/>
      <c r="R108" s="14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6"/>
    </row>
    <row r="109" spans="1:34" ht="14.25" customHeight="1">
      <c r="A109" s="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0"/>
      <c r="R109" s="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0"/>
    </row>
    <row r="110" spans="1:34" ht="14.25" customHeight="1">
      <c r="A110" s="11"/>
      <c r="B110" s="22" t="str">
        <f>印刷シート!$O22</f>
        <v/>
      </c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13"/>
      <c r="R110" s="11"/>
      <c r="S110" s="22" t="str">
        <f>印刷シート!$O23</f>
        <v/>
      </c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13"/>
    </row>
    <row r="111" spans="1:34" ht="14.25" customHeight="1">
      <c r="A111" s="1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13"/>
      <c r="R111" s="11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13"/>
    </row>
    <row r="112" spans="1:34" ht="14.25" customHeight="1">
      <c r="A112" s="11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13"/>
      <c r="R112" s="11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13"/>
    </row>
    <row r="113" spans="1:34" ht="14.25" customHeight="1">
      <c r="A113" s="11"/>
      <c r="B113" s="12" t="str">
        <f>印刷シート!$D22</f>
        <v/>
      </c>
      <c r="Q113" s="13"/>
      <c r="R113" s="11"/>
      <c r="S113" s="12" t="str">
        <f>印刷シート!$D23</f>
        <v/>
      </c>
      <c r="AH113" s="13"/>
    </row>
    <row r="114" spans="1:34" ht="14.25" customHeight="1">
      <c r="A114" s="11"/>
      <c r="B114" s="12" t="str">
        <f>印刷シート!$C22</f>
        <v/>
      </c>
      <c r="Q114" s="13"/>
      <c r="R114" s="11"/>
      <c r="S114" s="12" t="str">
        <f>印刷シート!$C23</f>
        <v/>
      </c>
      <c r="AH114" s="13"/>
    </row>
    <row r="115" spans="1:34" ht="14.25" customHeight="1">
      <c r="A115" s="11"/>
      <c r="B115" s="12" t="str">
        <f>"規格"</f>
        <v>規格</v>
      </c>
      <c r="H115" s="12" t="str">
        <f>印刷シート!$G22 &amp; 印刷シート!$H22</f>
        <v/>
      </c>
      <c r="Q115" s="13"/>
      <c r="R115" s="11"/>
      <c r="S115" s="12" t="str">
        <f>"規格"</f>
        <v>規格</v>
      </c>
      <c r="Y115" s="12" t="str">
        <f>印刷シート!$G23 &amp; 印刷シート!$H23</f>
        <v/>
      </c>
      <c r="AH115" s="13"/>
    </row>
    <row r="116" spans="1:34" ht="14.25" customHeight="1">
      <c r="A116" s="11"/>
      <c r="B116" s="12" t="str">
        <f>"参考価格"</f>
        <v>参考価格</v>
      </c>
      <c r="H116" s="12" t="str">
        <f>印刷シート!$I22 &amp; "円"</f>
        <v>円</v>
      </c>
      <c r="Q116" s="13"/>
      <c r="R116" s="11"/>
      <c r="S116" s="12" t="str">
        <f>"参考価格"</f>
        <v>参考価格</v>
      </c>
      <c r="Y116" s="12" t="str">
        <f>印刷シート!$I23 &amp; "円"</f>
        <v>円</v>
      </c>
      <c r="AH116" s="13"/>
    </row>
    <row r="117" spans="1:34" ht="14.25" customHeight="1">
      <c r="A117" s="18"/>
      <c r="B117" s="23" t="str">
        <f>IF(LEN(印刷シート!$B22)&gt;=7, Jan(印刷シート!$B22), "")</f>
        <v/>
      </c>
      <c r="C117" s="23"/>
      <c r="D117" s="23"/>
      <c r="E117" s="23"/>
      <c r="F117" s="23"/>
      <c r="G117" s="23"/>
      <c r="H117" s="23"/>
      <c r="I117" s="23"/>
      <c r="J117" s="23"/>
      <c r="K117" s="23"/>
      <c r="L117" s="24" t="str">
        <f>印刷シート!$K22</f>
        <v/>
      </c>
      <c r="M117" s="24"/>
      <c r="N117" s="24"/>
      <c r="Q117" s="13"/>
      <c r="R117" s="18"/>
      <c r="S117" s="23" t="str">
        <f>IF(LEN(印刷シート!$B23)&gt;=7, Jan(印刷シート!$B23), "")</f>
        <v/>
      </c>
      <c r="T117" s="23"/>
      <c r="U117" s="23"/>
      <c r="V117" s="23"/>
      <c r="W117" s="23"/>
      <c r="X117" s="23"/>
      <c r="Y117" s="23"/>
      <c r="Z117" s="23"/>
      <c r="AA117" s="23"/>
      <c r="AB117" s="23"/>
      <c r="AC117" s="24" t="str">
        <f>印刷シート!$K23</f>
        <v/>
      </c>
      <c r="AD117" s="24"/>
      <c r="AE117" s="24"/>
      <c r="AH117" s="13"/>
    </row>
    <row r="118" spans="1:34" ht="14.25" customHeight="1">
      <c r="A118" s="18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4"/>
      <c r="M118" s="24"/>
      <c r="N118" s="24"/>
      <c r="Q118" s="13"/>
      <c r="R118" s="18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4"/>
      <c r="AD118" s="24"/>
      <c r="AE118" s="24"/>
      <c r="AH118" s="13"/>
    </row>
    <row r="119" spans="1:34" ht="14.25" customHeight="1">
      <c r="A119" s="18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4"/>
      <c r="M119" s="24"/>
      <c r="N119" s="24"/>
      <c r="O119" s="12" t="str">
        <f>"円＋税"</f>
        <v>円＋税</v>
      </c>
      <c r="Q119" s="13"/>
      <c r="R119" s="18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4"/>
      <c r="AD119" s="24"/>
      <c r="AE119" s="24"/>
      <c r="AF119" s="12" t="str">
        <f>"円＋税"</f>
        <v>円＋税</v>
      </c>
      <c r="AH119" s="13"/>
    </row>
    <row r="120" spans="1:34" ht="14.25" customHeight="1">
      <c r="A120" s="14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6"/>
      <c r="R120" s="14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6"/>
    </row>
    <row r="121" spans="1:34" ht="14.25" customHeight="1">
      <c r="A121" s="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0"/>
      <c r="R121" s="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0"/>
    </row>
    <row r="122" spans="1:34" ht="14.25" customHeight="1">
      <c r="A122" s="11"/>
      <c r="B122" s="22" t="str">
        <f>印刷シート!$O24</f>
        <v/>
      </c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13"/>
      <c r="R122" s="11"/>
      <c r="S122" s="22" t="str">
        <f>印刷シート!$O25</f>
        <v/>
      </c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13"/>
    </row>
    <row r="123" spans="1:34" ht="14.25" customHeight="1">
      <c r="A123" s="1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13"/>
      <c r="R123" s="11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13"/>
    </row>
    <row r="124" spans="1:34" ht="14.25" customHeight="1">
      <c r="A124" s="11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13"/>
      <c r="R124" s="11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13"/>
    </row>
    <row r="125" spans="1:34" ht="14.25" customHeight="1">
      <c r="A125" s="11"/>
      <c r="B125" s="12" t="str">
        <f>印刷シート!$D24</f>
        <v/>
      </c>
      <c r="Q125" s="13"/>
      <c r="R125" s="11"/>
      <c r="S125" s="12" t="str">
        <f>印刷シート!$D25</f>
        <v/>
      </c>
      <c r="AH125" s="13"/>
    </row>
    <row r="126" spans="1:34" ht="14.25" customHeight="1">
      <c r="A126" s="11"/>
      <c r="B126" s="12" t="str">
        <f>印刷シート!$C24</f>
        <v/>
      </c>
      <c r="Q126" s="13"/>
      <c r="R126" s="11"/>
      <c r="S126" s="12" t="str">
        <f>印刷シート!$C25</f>
        <v/>
      </c>
      <c r="AH126" s="13"/>
    </row>
    <row r="127" spans="1:34" ht="14.25" customHeight="1">
      <c r="A127" s="11"/>
      <c r="B127" s="12" t="str">
        <f>"規格"</f>
        <v>規格</v>
      </c>
      <c r="H127" s="12" t="str">
        <f>印刷シート!$G24 &amp; 印刷シート!$H24</f>
        <v/>
      </c>
      <c r="Q127" s="13"/>
      <c r="R127" s="11"/>
      <c r="S127" s="12" t="str">
        <f>"規格"</f>
        <v>規格</v>
      </c>
      <c r="Y127" s="12" t="str">
        <f>印刷シート!$G25 &amp; 印刷シート!$H25</f>
        <v/>
      </c>
      <c r="AH127" s="13"/>
    </row>
    <row r="128" spans="1:34" ht="14.25" customHeight="1">
      <c r="A128" s="11"/>
      <c r="B128" s="12" t="str">
        <f>"参考価格"</f>
        <v>参考価格</v>
      </c>
      <c r="H128" s="12" t="str">
        <f>印刷シート!$I24 &amp; "円"</f>
        <v>円</v>
      </c>
      <c r="Q128" s="13"/>
      <c r="R128" s="11"/>
      <c r="S128" s="12" t="str">
        <f>"参考価格"</f>
        <v>参考価格</v>
      </c>
      <c r="Y128" s="12" t="str">
        <f>印刷シート!$I25 &amp; "円"</f>
        <v>円</v>
      </c>
      <c r="AH128" s="13"/>
    </row>
    <row r="129" spans="1:34" ht="14.25" customHeight="1">
      <c r="A129" s="18"/>
      <c r="B129" s="23" t="str">
        <f>IF(LEN(印刷シート!$B24)&gt;=7, Jan(印刷シート!$B24), "")</f>
        <v/>
      </c>
      <c r="C129" s="23"/>
      <c r="D129" s="23"/>
      <c r="E129" s="23"/>
      <c r="F129" s="23"/>
      <c r="G129" s="23"/>
      <c r="H129" s="23"/>
      <c r="I129" s="23"/>
      <c r="J129" s="23"/>
      <c r="K129" s="23"/>
      <c r="L129" s="24" t="str">
        <f>印刷シート!$K24</f>
        <v/>
      </c>
      <c r="M129" s="24"/>
      <c r="N129" s="24"/>
      <c r="Q129" s="13"/>
      <c r="R129" s="18"/>
      <c r="S129" s="23" t="str">
        <f>IF(LEN(印刷シート!$B25)&gt;=7, Jan(印刷シート!$B25), "")</f>
        <v/>
      </c>
      <c r="T129" s="23"/>
      <c r="U129" s="23"/>
      <c r="V129" s="23"/>
      <c r="W129" s="23"/>
      <c r="X129" s="23"/>
      <c r="Y129" s="23"/>
      <c r="Z129" s="23"/>
      <c r="AA129" s="23"/>
      <c r="AB129" s="23"/>
      <c r="AC129" s="24" t="str">
        <f>印刷シート!$K25</f>
        <v/>
      </c>
      <c r="AD129" s="24"/>
      <c r="AE129" s="24"/>
      <c r="AH129" s="13"/>
    </row>
    <row r="130" spans="1:34" ht="14.25" customHeight="1">
      <c r="A130" s="18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4"/>
      <c r="M130" s="24"/>
      <c r="N130" s="24"/>
      <c r="Q130" s="13"/>
      <c r="R130" s="18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4"/>
      <c r="AD130" s="24"/>
      <c r="AE130" s="24"/>
      <c r="AH130" s="13"/>
    </row>
    <row r="131" spans="1:34" ht="14.25" customHeight="1">
      <c r="A131" s="18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4"/>
      <c r="M131" s="24"/>
      <c r="N131" s="24"/>
      <c r="O131" s="12" t="str">
        <f>"円＋税"</f>
        <v>円＋税</v>
      </c>
      <c r="Q131" s="13"/>
      <c r="R131" s="18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4"/>
      <c r="AD131" s="24"/>
      <c r="AE131" s="24"/>
      <c r="AF131" s="12" t="str">
        <f>"円＋税"</f>
        <v>円＋税</v>
      </c>
      <c r="AH131" s="13"/>
    </row>
    <row r="132" spans="1:34" ht="14.25" customHeight="1">
      <c r="A132" s="14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6"/>
      <c r="R132" s="14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6"/>
    </row>
    <row r="133" spans="1:34" ht="14.25" customHeight="1">
      <c r="A133" s="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0"/>
      <c r="R133" s="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0"/>
    </row>
    <row r="134" spans="1:34" ht="14.25" customHeight="1">
      <c r="A134" s="11"/>
      <c r="B134" s="22" t="str">
        <f>印刷シート!$O26</f>
        <v/>
      </c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13"/>
      <c r="R134" s="11"/>
      <c r="S134" s="22" t="str">
        <f>印刷シート!$O27</f>
        <v/>
      </c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13"/>
    </row>
    <row r="135" spans="1:34" ht="14.25" customHeight="1">
      <c r="A135" s="1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13"/>
      <c r="R135" s="11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13"/>
    </row>
    <row r="136" spans="1:34" ht="14.25" customHeight="1">
      <c r="A136" s="11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13"/>
      <c r="R136" s="11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13"/>
    </row>
    <row r="137" spans="1:34" ht="14.25" customHeight="1">
      <c r="A137" s="11"/>
      <c r="B137" s="12" t="str">
        <f>印刷シート!$D26</f>
        <v/>
      </c>
      <c r="Q137" s="13"/>
      <c r="R137" s="11"/>
      <c r="S137" s="12" t="str">
        <f>印刷シート!$D27</f>
        <v/>
      </c>
      <c r="AH137" s="13"/>
    </row>
    <row r="138" spans="1:34" ht="14.25" customHeight="1">
      <c r="A138" s="11"/>
      <c r="B138" s="12" t="str">
        <f>印刷シート!$C26</f>
        <v/>
      </c>
      <c r="Q138" s="13"/>
      <c r="R138" s="11"/>
      <c r="S138" s="12" t="str">
        <f>印刷シート!$C27</f>
        <v/>
      </c>
      <c r="AH138" s="13"/>
    </row>
    <row r="139" spans="1:34" ht="14.25" customHeight="1">
      <c r="A139" s="11"/>
      <c r="B139" s="12" t="str">
        <f>"規格"</f>
        <v>規格</v>
      </c>
      <c r="H139" s="12" t="str">
        <f>印刷シート!$G26 &amp; 印刷シート!$H26</f>
        <v/>
      </c>
      <c r="Q139" s="13"/>
      <c r="R139" s="11"/>
      <c r="S139" s="12" t="str">
        <f>"規格"</f>
        <v>規格</v>
      </c>
      <c r="Y139" s="12" t="str">
        <f>印刷シート!$G27 &amp; 印刷シート!$H27</f>
        <v/>
      </c>
      <c r="AH139" s="13"/>
    </row>
    <row r="140" spans="1:34" ht="14.25" customHeight="1">
      <c r="A140" s="11"/>
      <c r="B140" s="12" t="str">
        <f>"参考価格"</f>
        <v>参考価格</v>
      </c>
      <c r="H140" s="12" t="str">
        <f>印刷シート!$I26 &amp; "円"</f>
        <v>円</v>
      </c>
      <c r="Q140" s="13"/>
      <c r="R140" s="11"/>
      <c r="S140" s="12" t="str">
        <f>"参考価格"</f>
        <v>参考価格</v>
      </c>
      <c r="Y140" s="12" t="str">
        <f>印刷シート!$I27 &amp; "円"</f>
        <v>円</v>
      </c>
      <c r="AH140" s="13"/>
    </row>
    <row r="141" spans="1:34" ht="14.25" customHeight="1">
      <c r="A141" s="18"/>
      <c r="B141" s="23" t="str">
        <f>IF(LEN(印刷シート!$B26)&gt;=7, Jan(印刷シート!$B26), "")</f>
        <v/>
      </c>
      <c r="C141" s="23"/>
      <c r="D141" s="23"/>
      <c r="E141" s="23"/>
      <c r="F141" s="23"/>
      <c r="G141" s="23"/>
      <c r="H141" s="23"/>
      <c r="I141" s="23"/>
      <c r="J141" s="23"/>
      <c r="K141" s="23"/>
      <c r="L141" s="24" t="str">
        <f>印刷シート!$K26</f>
        <v/>
      </c>
      <c r="M141" s="24"/>
      <c r="N141" s="24"/>
      <c r="Q141" s="13"/>
      <c r="R141" s="18"/>
      <c r="S141" s="23" t="str">
        <f>IF(LEN(印刷シート!$B27)&gt;=7, Jan(印刷シート!$B27), "")</f>
        <v/>
      </c>
      <c r="T141" s="23"/>
      <c r="U141" s="23"/>
      <c r="V141" s="23"/>
      <c r="W141" s="23"/>
      <c r="X141" s="23"/>
      <c r="Y141" s="23"/>
      <c r="Z141" s="23"/>
      <c r="AA141" s="23"/>
      <c r="AB141" s="23"/>
      <c r="AC141" s="24" t="str">
        <f>印刷シート!$K27</f>
        <v/>
      </c>
      <c r="AD141" s="24"/>
      <c r="AE141" s="24"/>
      <c r="AH141" s="13"/>
    </row>
    <row r="142" spans="1:34" ht="14.25" customHeight="1">
      <c r="A142" s="18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4"/>
      <c r="M142" s="24"/>
      <c r="N142" s="24"/>
      <c r="Q142" s="13"/>
      <c r="R142" s="18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4"/>
      <c r="AD142" s="24"/>
      <c r="AE142" s="24"/>
      <c r="AH142" s="13"/>
    </row>
    <row r="143" spans="1:34" ht="14.25" customHeight="1">
      <c r="A143" s="18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4"/>
      <c r="M143" s="24"/>
      <c r="N143" s="24"/>
      <c r="O143" s="12" t="str">
        <f>"円＋税"</f>
        <v>円＋税</v>
      </c>
      <c r="Q143" s="13"/>
      <c r="R143" s="18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4"/>
      <c r="AD143" s="24"/>
      <c r="AE143" s="24"/>
      <c r="AF143" s="12" t="str">
        <f>"円＋税"</f>
        <v>円＋税</v>
      </c>
      <c r="AH143" s="13"/>
    </row>
    <row r="144" spans="1:34" ht="14.25" customHeight="1">
      <c r="A144" s="14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6"/>
      <c r="R144" s="14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6"/>
    </row>
    <row r="145" spans="1:34" ht="14.25" customHeight="1">
      <c r="A145" s="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0"/>
      <c r="R145" s="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0"/>
    </row>
    <row r="146" spans="1:34" ht="14.25" customHeight="1">
      <c r="A146" s="11"/>
      <c r="B146" s="22" t="str">
        <f>印刷シート!$O28</f>
        <v/>
      </c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13"/>
      <c r="R146" s="11"/>
      <c r="S146" s="22" t="str">
        <f>印刷シート!$O29</f>
        <v/>
      </c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13"/>
    </row>
    <row r="147" spans="1:34" ht="14.25" customHeight="1">
      <c r="A147" s="1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13"/>
      <c r="R147" s="11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13"/>
    </row>
    <row r="148" spans="1:34" ht="14.25" customHeight="1">
      <c r="A148" s="11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13"/>
      <c r="R148" s="11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13"/>
    </row>
    <row r="149" spans="1:34" ht="14.25" customHeight="1">
      <c r="A149" s="11"/>
      <c r="B149" s="12" t="str">
        <f>印刷シート!$D28</f>
        <v/>
      </c>
      <c r="Q149" s="13"/>
      <c r="R149" s="11"/>
      <c r="S149" s="12" t="str">
        <f>印刷シート!$D29</f>
        <v/>
      </c>
      <c r="AH149" s="13"/>
    </row>
    <row r="150" spans="1:34" ht="14.25" customHeight="1">
      <c r="A150" s="11"/>
      <c r="B150" s="12" t="str">
        <f>印刷シート!$C28</f>
        <v/>
      </c>
      <c r="Q150" s="13"/>
      <c r="R150" s="11"/>
      <c r="S150" s="12" t="str">
        <f>印刷シート!$C29</f>
        <v/>
      </c>
      <c r="AH150" s="13"/>
    </row>
    <row r="151" spans="1:34" ht="14.25" customHeight="1">
      <c r="A151" s="11"/>
      <c r="B151" s="12" t="str">
        <f>"規格"</f>
        <v>規格</v>
      </c>
      <c r="H151" s="12" t="str">
        <f>印刷シート!$G28 &amp; 印刷シート!$H28</f>
        <v/>
      </c>
      <c r="Q151" s="13"/>
      <c r="R151" s="11"/>
      <c r="S151" s="12" t="str">
        <f>"規格"</f>
        <v>規格</v>
      </c>
      <c r="Y151" s="12" t="str">
        <f>印刷シート!$G29 &amp; 印刷シート!$H29</f>
        <v/>
      </c>
      <c r="AH151" s="13"/>
    </row>
    <row r="152" spans="1:34" ht="14.25" customHeight="1">
      <c r="A152" s="11"/>
      <c r="B152" s="12" t="str">
        <f>"参考価格"</f>
        <v>参考価格</v>
      </c>
      <c r="H152" s="12" t="str">
        <f>印刷シート!$I28 &amp; "円"</f>
        <v>円</v>
      </c>
      <c r="Q152" s="13"/>
      <c r="R152" s="11"/>
      <c r="S152" s="12" t="str">
        <f>"参考価格"</f>
        <v>参考価格</v>
      </c>
      <c r="Y152" s="12" t="str">
        <f>印刷シート!$I29 &amp; "円"</f>
        <v>円</v>
      </c>
      <c r="AH152" s="13"/>
    </row>
    <row r="153" spans="1:34" ht="14.25" customHeight="1">
      <c r="A153" s="18"/>
      <c r="B153" s="23" t="str">
        <f>IF(LEN(印刷シート!$B28)&gt;=7, Jan(印刷シート!$B28), "")</f>
        <v/>
      </c>
      <c r="C153" s="23"/>
      <c r="D153" s="23"/>
      <c r="E153" s="23"/>
      <c r="F153" s="23"/>
      <c r="G153" s="23"/>
      <c r="H153" s="23"/>
      <c r="I153" s="23"/>
      <c r="J153" s="23"/>
      <c r="K153" s="23"/>
      <c r="L153" s="24" t="str">
        <f>印刷シート!$K28</f>
        <v/>
      </c>
      <c r="M153" s="24"/>
      <c r="N153" s="24"/>
      <c r="Q153" s="13"/>
      <c r="R153" s="18"/>
      <c r="S153" s="23" t="str">
        <f>IF(LEN(印刷シート!$B29)&gt;=7, Jan(印刷シート!$B29), "")</f>
        <v/>
      </c>
      <c r="T153" s="23"/>
      <c r="U153" s="23"/>
      <c r="V153" s="23"/>
      <c r="W153" s="23"/>
      <c r="X153" s="23"/>
      <c r="Y153" s="23"/>
      <c r="Z153" s="23"/>
      <c r="AA153" s="23"/>
      <c r="AB153" s="23"/>
      <c r="AC153" s="24" t="str">
        <f>印刷シート!$K29</f>
        <v/>
      </c>
      <c r="AD153" s="24"/>
      <c r="AE153" s="24"/>
      <c r="AH153" s="13"/>
    </row>
    <row r="154" spans="1:34" ht="14.25" customHeight="1">
      <c r="A154" s="18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4"/>
      <c r="M154" s="24"/>
      <c r="N154" s="24"/>
      <c r="Q154" s="13"/>
      <c r="R154" s="18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4"/>
      <c r="AD154" s="24"/>
      <c r="AE154" s="24"/>
      <c r="AH154" s="13"/>
    </row>
    <row r="155" spans="1:34" ht="14.25" customHeight="1">
      <c r="A155" s="18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4"/>
      <c r="M155" s="24"/>
      <c r="N155" s="24"/>
      <c r="O155" s="12" t="str">
        <f>"円＋税"</f>
        <v>円＋税</v>
      </c>
      <c r="Q155" s="13"/>
      <c r="R155" s="18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4"/>
      <c r="AD155" s="24"/>
      <c r="AE155" s="24"/>
      <c r="AF155" s="12" t="str">
        <f>"円＋税"</f>
        <v>円＋税</v>
      </c>
      <c r="AH155" s="13"/>
    </row>
    <row r="156" spans="1:34" ht="14.25" customHeight="1">
      <c r="A156" s="14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6"/>
      <c r="R156" s="14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6"/>
    </row>
    <row r="157" spans="1:34" ht="14.25" customHeight="1">
      <c r="A157" s="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0"/>
      <c r="R157" s="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0"/>
    </row>
    <row r="158" spans="1:34" ht="14.25" customHeight="1">
      <c r="A158" s="11"/>
      <c r="B158" s="22" t="str">
        <f>印刷シート!$O30</f>
        <v/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13"/>
      <c r="R158" s="11"/>
      <c r="S158" s="22" t="str">
        <f>印刷シート!$O31</f>
        <v/>
      </c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13"/>
    </row>
    <row r="159" spans="1:34" ht="14.25" customHeight="1">
      <c r="A159" s="1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13"/>
      <c r="R159" s="11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13"/>
    </row>
    <row r="160" spans="1:34" ht="14.25" customHeight="1">
      <c r="A160" s="11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13"/>
      <c r="R160" s="11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13"/>
    </row>
    <row r="161" spans="1:34" ht="14.25" customHeight="1">
      <c r="A161" s="11"/>
      <c r="B161" s="12" t="str">
        <f>印刷シート!$D30</f>
        <v/>
      </c>
      <c r="Q161" s="13"/>
      <c r="R161" s="11"/>
      <c r="S161" s="12" t="str">
        <f>印刷シート!$D31</f>
        <v/>
      </c>
      <c r="AH161" s="13"/>
    </row>
    <row r="162" spans="1:34" ht="14.25" customHeight="1">
      <c r="A162" s="11"/>
      <c r="B162" s="12" t="str">
        <f>印刷シート!$C30</f>
        <v/>
      </c>
      <c r="Q162" s="13"/>
      <c r="R162" s="11"/>
      <c r="S162" s="12" t="str">
        <f>印刷シート!$C31</f>
        <v/>
      </c>
      <c r="AH162" s="13"/>
    </row>
    <row r="163" spans="1:34" ht="14.25" customHeight="1">
      <c r="A163" s="11"/>
      <c r="B163" s="12" t="str">
        <f>"規格"</f>
        <v>規格</v>
      </c>
      <c r="H163" s="12" t="str">
        <f>印刷シート!$G30 &amp; 印刷シート!$H30</f>
        <v/>
      </c>
      <c r="Q163" s="13"/>
      <c r="R163" s="11"/>
      <c r="S163" s="12" t="str">
        <f>"規格"</f>
        <v>規格</v>
      </c>
      <c r="Y163" s="12" t="str">
        <f>印刷シート!$G31 &amp; 印刷シート!$H31</f>
        <v/>
      </c>
      <c r="AH163" s="13"/>
    </row>
    <row r="164" spans="1:34" ht="14.25" customHeight="1">
      <c r="A164" s="11"/>
      <c r="B164" s="12" t="str">
        <f>"参考価格"</f>
        <v>参考価格</v>
      </c>
      <c r="H164" s="12" t="str">
        <f>印刷シート!$I30 &amp; "円"</f>
        <v>円</v>
      </c>
      <c r="Q164" s="13"/>
      <c r="R164" s="11"/>
      <c r="S164" s="12" t="str">
        <f>"参考価格"</f>
        <v>参考価格</v>
      </c>
      <c r="Y164" s="12" t="str">
        <f>印刷シート!$I31 &amp; "円"</f>
        <v>円</v>
      </c>
      <c r="AH164" s="13"/>
    </row>
    <row r="165" spans="1:34" ht="14.25" customHeight="1">
      <c r="A165" s="18"/>
      <c r="B165" s="23" t="str">
        <f>IF(LEN(印刷シート!$B30)&gt;=7, Jan(印刷シート!$B30), "")</f>
        <v/>
      </c>
      <c r="C165" s="23"/>
      <c r="D165" s="23"/>
      <c r="E165" s="23"/>
      <c r="F165" s="23"/>
      <c r="G165" s="23"/>
      <c r="H165" s="23"/>
      <c r="I165" s="23"/>
      <c r="J165" s="23"/>
      <c r="K165" s="23"/>
      <c r="L165" s="24" t="str">
        <f>印刷シート!$K30</f>
        <v/>
      </c>
      <c r="M165" s="24"/>
      <c r="N165" s="24"/>
      <c r="Q165" s="13"/>
      <c r="R165" s="18"/>
      <c r="S165" s="23" t="str">
        <f>IF(LEN(印刷シート!$B31)&gt;=7, Jan(印刷シート!$B31), "")</f>
        <v/>
      </c>
      <c r="T165" s="23"/>
      <c r="U165" s="23"/>
      <c r="V165" s="23"/>
      <c r="W165" s="23"/>
      <c r="X165" s="23"/>
      <c r="Y165" s="23"/>
      <c r="Z165" s="23"/>
      <c r="AA165" s="23"/>
      <c r="AB165" s="23"/>
      <c r="AC165" s="24" t="str">
        <f>印刷シート!$K31</f>
        <v/>
      </c>
      <c r="AD165" s="24"/>
      <c r="AE165" s="24"/>
      <c r="AH165" s="13"/>
    </row>
    <row r="166" spans="1:34" ht="14.25" customHeight="1">
      <c r="A166" s="18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4"/>
      <c r="M166" s="24"/>
      <c r="N166" s="24"/>
      <c r="Q166" s="13"/>
      <c r="R166" s="18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4"/>
      <c r="AD166" s="24"/>
      <c r="AE166" s="24"/>
      <c r="AH166" s="13"/>
    </row>
    <row r="167" spans="1:34" ht="14.25" customHeight="1">
      <c r="A167" s="18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4"/>
      <c r="M167" s="24"/>
      <c r="N167" s="24"/>
      <c r="O167" s="12" t="str">
        <f>"円＋税"</f>
        <v>円＋税</v>
      </c>
      <c r="Q167" s="13"/>
      <c r="R167" s="18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4"/>
      <c r="AD167" s="24"/>
      <c r="AE167" s="24"/>
      <c r="AF167" s="12" t="str">
        <f>"円＋税"</f>
        <v>円＋税</v>
      </c>
      <c r="AH167" s="13"/>
    </row>
    <row r="168" spans="1:34" ht="14.25" customHeight="1">
      <c r="A168" s="14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6"/>
      <c r="R168" s="14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6"/>
    </row>
    <row r="169" spans="1:34" ht="14.25" customHeight="1">
      <c r="A169" s="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0"/>
      <c r="R169" s="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0"/>
    </row>
    <row r="170" spans="1:34" ht="14.25" customHeight="1">
      <c r="A170" s="11"/>
      <c r="B170" s="22" t="str">
        <f>印刷シート!$O32</f>
        <v/>
      </c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13"/>
      <c r="R170" s="11"/>
      <c r="S170" s="22" t="str">
        <f>印刷シート!$O33</f>
        <v/>
      </c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13"/>
    </row>
    <row r="171" spans="1:34" ht="14.25" customHeight="1">
      <c r="A171" s="1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13"/>
      <c r="R171" s="11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13"/>
    </row>
    <row r="172" spans="1:34" ht="14.25" customHeight="1">
      <c r="A172" s="11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13"/>
      <c r="R172" s="11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13"/>
    </row>
    <row r="173" spans="1:34" ht="14.25" customHeight="1">
      <c r="A173" s="11"/>
      <c r="B173" s="12" t="str">
        <f>印刷シート!$D32</f>
        <v/>
      </c>
      <c r="Q173" s="13"/>
      <c r="R173" s="11"/>
      <c r="S173" s="12" t="str">
        <f>印刷シート!$D33</f>
        <v/>
      </c>
      <c r="AH173" s="13"/>
    </row>
    <row r="174" spans="1:34" ht="14.25" customHeight="1">
      <c r="A174" s="11"/>
      <c r="B174" s="12" t="str">
        <f>印刷シート!$C32</f>
        <v/>
      </c>
      <c r="Q174" s="13"/>
      <c r="R174" s="11"/>
      <c r="S174" s="12" t="str">
        <f>印刷シート!$C33</f>
        <v/>
      </c>
      <c r="AH174" s="13"/>
    </row>
    <row r="175" spans="1:34" ht="14.25" customHeight="1">
      <c r="A175" s="11"/>
      <c r="B175" s="12" t="str">
        <f>"規格"</f>
        <v>規格</v>
      </c>
      <c r="H175" s="12" t="str">
        <f>印刷シート!$G32 &amp; 印刷シート!$H32</f>
        <v/>
      </c>
      <c r="Q175" s="13"/>
      <c r="R175" s="11"/>
      <c r="S175" s="12" t="str">
        <f>"規格"</f>
        <v>規格</v>
      </c>
      <c r="Y175" s="12" t="str">
        <f>印刷シート!$G33 &amp; 印刷シート!$H33</f>
        <v/>
      </c>
      <c r="AH175" s="13"/>
    </row>
    <row r="176" spans="1:34" ht="14.25" customHeight="1">
      <c r="A176" s="11"/>
      <c r="B176" s="12" t="str">
        <f>"参考価格"</f>
        <v>参考価格</v>
      </c>
      <c r="H176" s="12" t="str">
        <f>印刷シート!$I32 &amp; "円"</f>
        <v>円</v>
      </c>
      <c r="Q176" s="13"/>
      <c r="R176" s="11"/>
      <c r="S176" s="12" t="str">
        <f>"参考価格"</f>
        <v>参考価格</v>
      </c>
      <c r="Y176" s="12" t="str">
        <f>印刷シート!$I33 &amp; "円"</f>
        <v>円</v>
      </c>
      <c r="AH176" s="13"/>
    </row>
    <row r="177" spans="1:34" ht="14.25" customHeight="1">
      <c r="A177" s="18"/>
      <c r="B177" s="23" t="str">
        <f>IF(LEN(印刷シート!$B32)&gt;=7, Jan(印刷シート!$B32), "")</f>
        <v/>
      </c>
      <c r="C177" s="23"/>
      <c r="D177" s="23"/>
      <c r="E177" s="23"/>
      <c r="F177" s="23"/>
      <c r="G177" s="23"/>
      <c r="H177" s="23"/>
      <c r="I177" s="23"/>
      <c r="J177" s="23"/>
      <c r="K177" s="23"/>
      <c r="L177" s="24" t="str">
        <f>印刷シート!$K32</f>
        <v/>
      </c>
      <c r="M177" s="24"/>
      <c r="N177" s="24"/>
      <c r="Q177" s="13"/>
      <c r="R177" s="18"/>
      <c r="S177" s="23" t="str">
        <f>IF(LEN(印刷シート!$B33)&gt;=7, Jan(印刷シート!$B33), "")</f>
        <v/>
      </c>
      <c r="T177" s="23"/>
      <c r="U177" s="23"/>
      <c r="V177" s="23"/>
      <c r="W177" s="23"/>
      <c r="X177" s="23"/>
      <c r="Y177" s="23"/>
      <c r="Z177" s="23"/>
      <c r="AA177" s="23"/>
      <c r="AB177" s="23"/>
      <c r="AC177" s="24" t="str">
        <f>印刷シート!$K33</f>
        <v/>
      </c>
      <c r="AD177" s="24"/>
      <c r="AE177" s="24"/>
      <c r="AH177" s="13"/>
    </row>
    <row r="178" spans="1:34" ht="14.25" customHeight="1">
      <c r="A178" s="18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4"/>
      <c r="M178" s="24"/>
      <c r="N178" s="24"/>
      <c r="Q178" s="13"/>
      <c r="R178" s="18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4"/>
      <c r="AD178" s="24"/>
      <c r="AE178" s="24"/>
      <c r="AH178" s="13"/>
    </row>
    <row r="179" spans="1:34" ht="14.25" customHeight="1">
      <c r="A179" s="18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4"/>
      <c r="M179" s="24"/>
      <c r="N179" s="24"/>
      <c r="O179" s="12" t="str">
        <f>"円＋税"</f>
        <v>円＋税</v>
      </c>
      <c r="Q179" s="13"/>
      <c r="R179" s="18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4"/>
      <c r="AD179" s="24"/>
      <c r="AE179" s="24"/>
      <c r="AF179" s="12" t="str">
        <f>"円＋税"</f>
        <v>円＋税</v>
      </c>
      <c r="AH179" s="13"/>
    </row>
    <row r="180" spans="1:34" ht="14.25" customHeight="1">
      <c r="A180" s="14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6"/>
      <c r="R180" s="14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6"/>
    </row>
    <row r="181" spans="1:34" ht="14.25" customHeight="1">
      <c r="A181" s="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0"/>
      <c r="R181" s="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0"/>
    </row>
    <row r="182" spans="1:34" ht="14.25" customHeight="1">
      <c r="A182" s="11"/>
      <c r="B182" s="22" t="str">
        <f>印刷シート!$O34</f>
        <v/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13"/>
      <c r="R182" s="11"/>
      <c r="S182" s="22" t="str">
        <f>印刷シート!$O35</f>
        <v/>
      </c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13"/>
    </row>
    <row r="183" spans="1:34" ht="14.25" customHeight="1">
      <c r="A183" s="1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13"/>
      <c r="R183" s="11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13"/>
    </row>
    <row r="184" spans="1:34" ht="14.25" customHeight="1">
      <c r="A184" s="11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13"/>
      <c r="R184" s="11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13"/>
    </row>
    <row r="185" spans="1:34" ht="14.25" customHeight="1">
      <c r="A185" s="11"/>
      <c r="B185" s="12" t="str">
        <f>印刷シート!$D34</f>
        <v/>
      </c>
      <c r="Q185" s="13"/>
      <c r="R185" s="11"/>
      <c r="S185" s="12" t="str">
        <f>印刷シート!$D35</f>
        <v/>
      </c>
      <c r="AH185" s="13"/>
    </row>
    <row r="186" spans="1:34" ht="14.25" customHeight="1">
      <c r="A186" s="11"/>
      <c r="B186" s="12" t="str">
        <f>印刷シート!$C34</f>
        <v/>
      </c>
      <c r="Q186" s="13"/>
      <c r="R186" s="11"/>
      <c r="S186" s="12" t="str">
        <f>印刷シート!$C35</f>
        <v/>
      </c>
      <c r="AH186" s="13"/>
    </row>
    <row r="187" spans="1:34" ht="14.25" customHeight="1">
      <c r="A187" s="11"/>
      <c r="B187" s="12" t="str">
        <f>"規格"</f>
        <v>規格</v>
      </c>
      <c r="H187" s="12" t="str">
        <f>印刷シート!$G34 &amp; 印刷シート!$H34</f>
        <v/>
      </c>
      <c r="Q187" s="13"/>
      <c r="R187" s="11"/>
      <c r="S187" s="12" t="str">
        <f>"規格"</f>
        <v>規格</v>
      </c>
      <c r="Y187" s="12" t="str">
        <f>印刷シート!$G35 &amp; 印刷シート!$H35</f>
        <v/>
      </c>
      <c r="AH187" s="13"/>
    </row>
    <row r="188" spans="1:34" ht="14.25" customHeight="1">
      <c r="A188" s="11"/>
      <c r="B188" s="12" t="str">
        <f>"参考価格"</f>
        <v>参考価格</v>
      </c>
      <c r="H188" s="12" t="str">
        <f>印刷シート!$I34 &amp; "円"</f>
        <v>円</v>
      </c>
      <c r="Q188" s="13"/>
      <c r="R188" s="11"/>
      <c r="S188" s="12" t="str">
        <f>"参考価格"</f>
        <v>参考価格</v>
      </c>
      <c r="Y188" s="12" t="str">
        <f>印刷シート!$I35 &amp; "円"</f>
        <v>円</v>
      </c>
      <c r="AH188" s="13"/>
    </row>
    <row r="189" spans="1:34" ht="14.25" customHeight="1">
      <c r="A189" s="18"/>
      <c r="B189" s="23" t="str">
        <f>IF(LEN(印刷シート!$B34)&gt;=7, Jan(印刷シート!$B34), "")</f>
        <v/>
      </c>
      <c r="C189" s="23"/>
      <c r="D189" s="23"/>
      <c r="E189" s="23"/>
      <c r="F189" s="23"/>
      <c r="G189" s="23"/>
      <c r="H189" s="23"/>
      <c r="I189" s="23"/>
      <c r="J189" s="23"/>
      <c r="K189" s="23"/>
      <c r="L189" s="24" t="str">
        <f>印刷シート!$K34</f>
        <v/>
      </c>
      <c r="M189" s="24"/>
      <c r="N189" s="24"/>
      <c r="Q189" s="13"/>
      <c r="R189" s="18"/>
      <c r="S189" s="23" t="str">
        <f>IF(LEN(印刷シート!$B35)&gt;=7, Jan(印刷シート!$B35), "")</f>
        <v/>
      </c>
      <c r="T189" s="23"/>
      <c r="U189" s="23"/>
      <c r="V189" s="23"/>
      <c r="W189" s="23"/>
      <c r="X189" s="23"/>
      <c r="Y189" s="23"/>
      <c r="Z189" s="23"/>
      <c r="AA189" s="23"/>
      <c r="AB189" s="23"/>
      <c r="AC189" s="24" t="str">
        <f>印刷シート!$K35</f>
        <v/>
      </c>
      <c r="AD189" s="24"/>
      <c r="AE189" s="24"/>
      <c r="AH189" s="13"/>
    </row>
    <row r="190" spans="1:34" ht="14.25" customHeight="1">
      <c r="A190" s="18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4"/>
      <c r="M190" s="24"/>
      <c r="N190" s="24"/>
      <c r="Q190" s="13"/>
      <c r="R190" s="18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4"/>
      <c r="AD190" s="24"/>
      <c r="AE190" s="24"/>
      <c r="AH190" s="13"/>
    </row>
    <row r="191" spans="1:34" ht="14.25" customHeight="1">
      <c r="A191" s="18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4"/>
      <c r="M191" s="24"/>
      <c r="N191" s="24"/>
      <c r="O191" s="12" t="str">
        <f>"円＋税"</f>
        <v>円＋税</v>
      </c>
      <c r="Q191" s="13"/>
      <c r="R191" s="18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4"/>
      <c r="AD191" s="24"/>
      <c r="AE191" s="24"/>
      <c r="AF191" s="12" t="str">
        <f>"円＋税"</f>
        <v>円＋税</v>
      </c>
      <c r="AH191" s="13"/>
    </row>
    <row r="192" spans="1:34" ht="14.25" customHeight="1">
      <c r="A192" s="14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6"/>
      <c r="R192" s="14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6"/>
    </row>
    <row r="193" spans="1:34" ht="14.25" customHeight="1">
      <c r="A193" s="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0"/>
      <c r="R193" s="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0"/>
    </row>
    <row r="194" spans="1:34" ht="14.25" customHeight="1">
      <c r="A194" s="11"/>
      <c r="B194" s="22" t="str">
        <f>印刷シート!$O36</f>
        <v/>
      </c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13"/>
      <c r="R194" s="11"/>
      <c r="S194" s="22" t="str">
        <f>印刷シート!$O37</f>
        <v/>
      </c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13"/>
    </row>
    <row r="195" spans="1:34" ht="14.25" customHeight="1">
      <c r="A195" s="1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13"/>
      <c r="R195" s="11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13"/>
    </row>
    <row r="196" spans="1:34" ht="14.25" customHeight="1">
      <c r="A196" s="11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13"/>
      <c r="R196" s="11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13"/>
    </row>
    <row r="197" spans="1:34" ht="14.25" customHeight="1">
      <c r="A197" s="11"/>
      <c r="B197" s="12" t="str">
        <f>印刷シート!$D36</f>
        <v/>
      </c>
      <c r="Q197" s="13"/>
      <c r="R197" s="11"/>
      <c r="S197" s="12" t="str">
        <f>印刷シート!$D37</f>
        <v/>
      </c>
      <c r="AH197" s="13"/>
    </row>
    <row r="198" spans="1:34" ht="14.25" customHeight="1">
      <c r="A198" s="11"/>
      <c r="B198" s="12" t="str">
        <f>印刷シート!$C36</f>
        <v/>
      </c>
      <c r="Q198" s="13"/>
      <c r="R198" s="11"/>
      <c r="S198" s="12" t="str">
        <f>印刷シート!$C37</f>
        <v/>
      </c>
      <c r="AH198" s="13"/>
    </row>
    <row r="199" spans="1:34" ht="14.25" customHeight="1">
      <c r="A199" s="11"/>
      <c r="B199" s="12" t="str">
        <f>"規格"</f>
        <v>規格</v>
      </c>
      <c r="H199" s="12" t="str">
        <f>印刷シート!$G36 &amp; 印刷シート!$H36</f>
        <v/>
      </c>
      <c r="Q199" s="13"/>
      <c r="R199" s="11"/>
      <c r="S199" s="12" t="str">
        <f>"規格"</f>
        <v>規格</v>
      </c>
      <c r="Y199" s="12" t="str">
        <f>印刷シート!$G37 &amp; 印刷シート!$H37</f>
        <v/>
      </c>
      <c r="AH199" s="13"/>
    </row>
    <row r="200" spans="1:34" ht="14.25" customHeight="1">
      <c r="A200" s="11"/>
      <c r="B200" s="12" t="str">
        <f>"参考価格"</f>
        <v>参考価格</v>
      </c>
      <c r="H200" s="12" t="str">
        <f>印刷シート!$I36 &amp; "円"</f>
        <v>円</v>
      </c>
      <c r="Q200" s="13"/>
      <c r="R200" s="11"/>
      <c r="S200" s="12" t="str">
        <f>"参考価格"</f>
        <v>参考価格</v>
      </c>
      <c r="Y200" s="12" t="str">
        <f>印刷シート!$I37 &amp; "円"</f>
        <v>円</v>
      </c>
      <c r="AH200" s="13"/>
    </row>
    <row r="201" spans="1:34" ht="14.25" customHeight="1">
      <c r="A201" s="18"/>
      <c r="B201" s="23" t="str">
        <f>IF(LEN(印刷シート!$B36)&gt;=7, Jan(印刷シート!$B36), "")</f>
        <v/>
      </c>
      <c r="C201" s="23"/>
      <c r="D201" s="23"/>
      <c r="E201" s="23"/>
      <c r="F201" s="23"/>
      <c r="G201" s="23"/>
      <c r="H201" s="23"/>
      <c r="I201" s="23"/>
      <c r="J201" s="23"/>
      <c r="K201" s="23"/>
      <c r="L201" s="24" t="str">
        <f>印刷シート!$K36</f>
        <v/>
      </c>
      <c r="M201" s="24"/>
      <c r="N201" s="24"/>
      <c r="Q201" s="13"/>
      <c r="R201" s="18"/>
      <c r="S201" s="23" t="str">
        <f>IF(LEN(印刷シート!$B37)&gt;=7, Jan(印刷シート!$B37), "")</f>
        <v/>
      </c>
      <c r="T201" s="23"/>
      <c r="U201" s="23"/>
      <c r="V201" s="23"/>
      <c r="W201" s="23"/>
      <c r="X201" s="23"/>
      <c r="Y201" s="23"/>
      <c r="Z201" s="23"/>
      <c r="AA201" s="23"/>
      <c r="AB201" s="23"/>
      <c r="AC201" s="24" t="str">
        <f>印刷シート!$K37</f>
        <v/>
      </c>
      <c r="AD201" s="24"/>
      <c r="AE201" s="24"/>
      <c r="AH201" s="13"/>
    </row>
    <row r="202" spans="1:34" ht="14.25" customHeight="1">
      <c r="A202" s="18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4"/>
      <c r="M202" s="24"/>
      <c r="N202" s="24"/>
      <c r="Q202" s="13"/>
      <c r="R202" s="18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4"/>
      <c r="AD202" s="24"/>
      <c r="AE202" s="24"/>
      <c r="AH202" s="13"/>
    </row>
    <row r="203" spans="1:34" ht="14.25" customHeight="1">
      <c r="A203" s="18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4"/>
      <c r="M203" s="24"/>
      <c r="N203" s="24"/>
      <c r="O203" s="12" t="str">
        <f>"円＋税"</f>
        <v>円＋税</v>
      </c>
      <c r="Q203" s="13"/>
      <c r="R203" s="18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4"/>
      <c r="AD203" s="24"/>
      <c r="AE203" s="24"/>
      <c r="AF203" s="12" t="str">
        <f>"円＋税"</f>
        <v>円＋税</v>
      </c>
      <c r="AH203" s="13"/>
    </row>
    <row r="204" spans="1:34" ht="14.25" customHeight="1">
      <c r="A204" s="14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6"/>
      <c r="R204" s="14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6"/>
    </row>
    <row r="205" spans="1:34" ht="14.25" customHeight="1">
      <c r="A205" s="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0"/>
      <c r="R205" s="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0"/>
    </row>
    <row r="206" spans="1:34" ht="14.25" customHeight="1">
      <c r="A206" s="11"/>
      <c r="B206" s="22" t="str">
        <f>印刷シート!$O38</f>
        <v/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13"/>
      <c r="R206" s="11"/>
      <c r="S206" s="22" t="str">
        <f>印刷シート!$O39</f>
        <v/>
      </c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13"/>
    </row>
    <row r="207" spans="1:34" ht="14.25" customHeight="1">
      <c r="A207" s="1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13"/>
      <c r="R207" s="11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13"/>
    </row>
    <row r="208" spans="1:34" ht="14.25" customHeight="1">
      <c r="A208" s="11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13"/>
      <c r="R208" s="11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13"/>
    </row>
    <row r="209" spans="1:34" ht="14.25" customHeight="1">
      <c r="A209" s="11"/>
      <c r="B209" s="12" t="str">
        <f>印刷シート!$D38</f>
        <v/>
      </c>
      <c r="Q209" s="13"/>
      <c r="R209" s="11"/>
      <c r="S209" s="12" t="str">
        <f>印刷シート!$D39</f>
        <v/>
      </c>
      <c r="AH209" s="13"/>
    </row>
    <row r="210" spans="1:34" ht="14.25" customHeight="1">
      <c r="A210" s="11"/>
      <c r="B210" s="12" t="str">
        <f>印刷シート!$C38</f>
        <v/>
      </c>
      <c r="Q210" s="13"/>
      <c r="R210" s="11"/>
      <c r="S210" s="12" t="str">
        <f>印刷シート!$C39</f>
        <v/>
      </c>
      <c r="AH210" s="13"/>
    </row>
    <row r="211" spans="1:34" ht="14.25" customHeight="1">
      <c r="A211" s="11"/>
      <c r="B211" s="12" t="str">
        <f>"規格"</f>
        <v>規格</v>
      </c>
      <c r="H211" s="12" t="str">
        <f>印刷シート!$G38 &amp; 印刷シート!$H38</f>
        <v/>
      </c>
      <c r="Q211" s="13"/>
      <c r="R211" s="11"/>
      <c r="S211" s="12" t="str">
        <f>"規格"</f>
        <v>規格</v>
      </c>
      <c r="Y211" s="12" t="str">
        <f>印刷シート!$G39 &amp; 印刷シート!$H39</f>
        <v/>
      </c>
      <c r="AH211" s="13"/>
    </row>
    <row r="212" spans="1:34" ht="14.25" customHeight="1">
      <c r="A212" s="11"/>
      <c r="B212" s="12" t="str">
        <f>"参考価格"</f>
        <v>参考価格</v>
      </c>
      <c r="H212" s="12" t="str">
        <f>印刷シート!$I38 &amp; "円"</f>
        <v>円</v>
      </c>
      <c r="Q212" s="13"/>
      <c r="R212" s="11"/>
      <c r="S212" s="12" t="str">
        <f>"参考価格"</f>
        <v>参考価格</v>
      </c>
      <c r="Y212" s="12" t="str">
        <f>印刷シート!$I39 &amp; "円"</f>
        <v>円</v>
      </c>
      <c r="AH212" s="13"/>
    </row>
    <row r="213" spans="1:34" ht="14.25" customHeight="1">
      <c r="A213" s="18"/>
      <c r="B213" s="23" t="str">
        <f>IF(LEN(印刷シート!$B38)&gt;=7, Jan(印刷シート!$B38), "")</f>
        <v/>
      </c>
      <c r="C213" s="23"/>
      <c r="D213" s="23"/>
      <c r="E213" s="23"/>
      <c r="F213" s="23"/>
      <c r="G213" s="23"/>
      <c r="H213" s="23"/>
      <c r="I213" s="23"/>
      <c r="J213" s="23"/>
      <c r="K213" s="23"/>
      <c r="L213" s="24" t="str">
        <f>印刷シート!$K38</f>
        <v/>
      </c>
      <c r="M213" s="24"/>
      <c r="N213" s="24"/>
      <c r="Q213" s="13"/>
      <c r="R213" s="18"/>
      <c r="S213" s="23" t="str">
        <f>IF(LEN(印刷シート!$B39)&gt;=7, Jan(印刷シート!$B39), "")</f>
        <v/>
      </c>
      <c r="T213" s="23"/>
      <c r="U213" s="23"/>
      <c r="V213" s="23"/>
      <c r="W213" s="23"/>
      <c r="X213" s="23"/>
      <c r="Y213" s="23"/>
      <c r="Z213" s="23"/>
      <c r="AA213" s="23"/>
      <c r="AB213" s="23"/>
      <c r="AC213" s="24" t="str">
        <f>印刷シート!$K39</f>
        <v/>
      </c>
      <c r="AD213" s="24"/>
      <c r="AE213" s="24"/>
      <c r="AH213" s="13"/>
    </row>
    <row r="214" spans="1:34" ht="14.25" customHeight="1">
      <c r="A214" s="18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4"/>
      <c r="M214" s="24"/>
      <c r="N214" s="24"/>
      <c r="Q214" s="13"/>
      <c r="R214" s="18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4"/>
      <c r="AD214" s="24"/>
      <c r="AE214" s="24"/>
      <c r="AH214" s="13"/>
    </row>
    <row r="215" spans="1:34" ht="14.25" customHeight="1">
      <c r="A215" s="18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4"/>
      <c r="M215" s="24"/>
      <c r="N215" s="24"/>
      <c r="O215" s="12" t="str">
        <f>"円＋税"</f>
        <v>円＋税</v>
      </c>
      <c r="Q215" s="13"/>
      <c r="R215" s="18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4"/>
      <c r="AD215" s="24"/>
      <c r="AE215" s="24"/>
      <c r="AF215" s="12" t="str">
        <f>"円＋税"</f>
        <v>円＋税</v>
      </c>
      <c r="AH215" s="13"/>
    </row>
    <row r="216" spans="1:34" ht="14.25" customHeight="1">
      <c r="A216" s="14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6"/>
      <c r="R216" s="14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6"/>
    </row>
    <row r="217" spans="1:34" ht="14.25" customHeight="1">
      <c r="A217" s="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0"/>
      <c r="R217" s="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0"/>
    </row>
    <row r="218" spans="1:34" ht="14.25" customHeight="1">
      <c r="A218" s="11"/>
      <c r="B218" s="22" t="str">
        <f>印刷シート!$O40</f>
        <v/>
      </c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13"/>
      <c r="R218" s="11"/>
      <c r="S218" s="22" t="str">
        <f>印刷シート!$O41</f>
        <v/>
      </c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13"/>
    </row>
    <row r="219" spans="1:34" ht="14.25" customHeight="1">
      <c r="A219" s="1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13"/>
      <c r="R219" s="11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13"/>
    </row>
    <row r="220" spans="1:34" ht="14.25" customHeight="1">
      <c r="A220" s="11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13"/>
      <c r="R220" s="11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13"/>
    </row>
    <row r="221" spans="1:34" ht="14.25" customHeight="1">
      <c r="A221" s="11"/>
      <c r="B221" s="12" t="str">
        <f>印刷シート!$D40</f>
        <v/>
      </c>
      <c r="Q221" s="13"/>
      <c r="R221" s="11"/>
      <c r="S221" s="12" t="str">
        <f>印刷シート!$D41</f>
        <v/>
      </c>
      <c r="AH221" s="13"/>
    </row>
    <row r="222" spans="1:34" ht="14.25" customHeight="1">
      <c r="A222" s="11"/>
      <c r="B222" s="12" t="str">
        <f>印刷シート!$C40</f>
        <v/>
      </c>
      <c r="Q222" s="13"/>
      <c r="R222" s="11"/>
      <c r="S222" s="12" t="str">
        <f>印刷シート!$C41</f>
        <v/>
      </c>
      <c r="AH222" s="13"/>
    </row>
    <row r="223" spans="1:34" ht="14.25" customHeight="1">
      <c r="A223" s="11"/>
      <c r="B223" s="12" t="str">
        <f>"規格"</f>
        <v>規格</v>
      </c>
      <c r="H223" s="12" t="str">
        <f>印刷シート!$G40 &amp; 印刷シート!$H40</f>
        <v/>
      </c>
      <c r="Q223" s="13"/>
      <c r="R223" s="11"/>
      <c r="S223" s="12" t="str">
        <f>"規格"</f>
        <v>規格</v>
      </c>
      <c r="Y223" s="12" t="str">
        <f>印刷シート!$G41 &amp; 印刷シート!$H41</f>
        <v/>
      </c>
      <c r="AH223" s="13"/>
    </row>
    <row r="224" spans="1:34" ht="14.25" customHeight="1">
      <c r="A224" s="11"/>
      <c r="B224" s="12" t="str">
        <f>"参考価格"</f>
        <v>参考価格</v>
      </c>
      <c r="H224" s="12" t="str">
        <f>印刷シート!$I40 &amp; "円"</f>
        <v>円</v>
      </c>
      <c r="Q224" s="13"/>
      <c r="R224" s="11"/>
      <c r="S224" s="12" t="str">
        <f>"参考価格"</f>
        <v>参考価格</v>
      </c>
      <c r="Y224" s="12" t="str">
        <f>印刷シート!$I41 &amp; "円"</f>
        <v>円</v>
      </c>
      <c r="AH224" s="13"/>
    </row>
    <row r="225" spans="1:34" ht="14.25" customHeight="1">
      <c r="A225" s="18"/>
      <c r="B225" s="23" t="str">
        <f>IF(LEN(印刷シート!$B40)&gt;=7, Jan(印刷シート!$B40), "")</f>
        <v/>
      </c>
      <c r="C225" s="23"/>
      <c r="D225" s="23"/>
      <c r="E225" s="23"/>
      <c r="F225" s="23"/>
      <c r="G225" s="23"/>
      <c r="H225" s="23"/>
      <c r="I225" s="23"/>
      <c r="J225" s="23"/>
      <c r="K225" s="23"/>
      <c r="L225" s="24" t="str">
        <f>印刷シート!$K40</f>
        <v/>
      </c>
      <c r="M225" s="24"/>
      <c r="N225" s="24"/>
      <c r="Q225" s="13"/>
      <c r="R225" s="18"/>
      <c r="S225" s="23" t="str">
        <f>IF(LEN(印刷シート!$B41)&gt;=7, Jan(印刷シート!$B41), "")</f>
        <v/>
      </c>
      <c r="T225" s="23"/>
      <c r="U225" s="23"/>
      <c r="V225" s="23"/>
      <c r="W225" s="23"/>
      <c r="X225" s="23"/>
      <c r="Y225" s="23"/>
      <c r="Z225" s="23"/>
      <c r="AA225" s="23"/>
      <c r="AB225" s="23"/>
      <c r="AC225" s="24" t="str">
        <f>印刷シート!$K41</f>
        <v/>
      </c>
      <c r="AD225" s="24"/>
      <c r="AE225" s="24"/>
      <c r="AH225" s="13"/>
    </row>
    <row r="226" spans="1:34" ht="14.25" customHeight="1">
      <c r="A226" s="18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4"/>
      <c r="M226" s="24"/>
      <c r="N226" s="24"/>
      <c r="Q226" s="13"/>
      <c r="R226" s="18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4"/>
      <c r="AD226" s="24"/>
      <c r="AE226" s="24"/>
      <c r="AH226" s="13"/>
    </row>
    <row r="227" spans="1:34" ht="14.25" customHeight="1">
      <c r="A227" s="18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4"/>
      <c r="M227" s="24"/>
      <c r="N227" s="24"/>
      <c r="O227" s="12" t="str">
        <f>"円＋税"</f>
        <v>円＋税</v>
      </c>
      <c r="Q227" s="13"/>
      <c r="R227" s="18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4"/>
      <c r="AD227" s="24"/>
      <c r="AE227" s="24"/>
      <c r="AF227" s="12" t="str">
        <f>"円＋税"</f>
        <v>円＋税</v>
      </c>
      <c r="AH227" s="13"/>
    </row>
    <row r="228" spans="1:34" ht="14.25" customHeight="1">
      <c r="A228" s="14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6"/>
      <c r="R228" s="14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6"/>
    </row>
    <row r="229" spans="1:34" ht="14.25" customHeight="1">
      <c r="A229" s="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0"/>
      <c r="R229" s="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0"/>
    </row>
    <row r="230" spans="1:34" ht="14.25" customHeight="1">
      <c r="A230" s="11"/>
      <c r="B230" s="22" t="str">
        <f>印刷シート!$O42</f>
        <v/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13"/>
      <c r="R230" s="11"/>
      <c r="S230" s="22" t="str">
        <f>印刷シート!$O43</f>
        <v/>
      </c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13"/>
    </row>
    <row r="231" spans="1:34" ht="14.25" customHeight="1">
      <c r="A231" s="1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13"/>
      <c r="R231" s="11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13"/>
    </row>
    <row r="232" spans="1:34" ht="14.25" customHeight="1">
      <c r="A232" s="11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13"/>
      <c r="R232" s="11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13"/>
    </row>
    <row r="233" spans="1:34" ht="14.25" customHeight="1">
      <c r="A233" s="11"/>
      <c r="B233" s="12" t="str">
        <f>印刷シート!$D42</f>
        <v/>
      </c>
      <c r="Q233" s="13"/>
      <c r="R233" s="11"/>
      <c r="S233" s="12" t="str">
        <f>印刷シート!$D43</f>
        <v/>
      </c>
      <c r="AH233" s="13"/>
    </row>
    <row r="234" spans="1:34" ht="14.25" customHeight="1">
      <c r="A234" s="11"/>
      <c r="B234" s="12" t="str">
        <f>印刷シート!$C42</f>
        <v/>
      </c>
      <c r="Q234" s="13"/>
      <c r="R234" s="11"/>
      <c r="S234" s="12" t="str">
        <f>印刷シート!$C43</f>
        <v/>
      </c>
      <c r="AH234" s="13"/>
    </row>
    <row r="235" spans="1:34" ht="14.25" customHeight="1">
      <c r="A235" s="11"/>
      <c r="B235" s="12" t="str">
        <f>"規格"</f>
        <v>規格</v>
      </c>
      <c r="H235" s="12" t="str">
        <f>印刷シート!$G42 &amp; 印刷シート!$H42</f>
        <v/>
      </c>
      <c r="Q235" s="13"/>
      <c r="R235" s="11"/>
      <c r="S235" s="12" t="str">
        <f>"規格"</f>
        <v>規格</v>
      </c>
      <c r="Y235" s="12" t="str">
        <f>印刷シート!$G43 &amp; 印刷シート!$H43</f>
        <v/>
      </c>
      <c r="AH235" s="13"/>
    </row>
    <row r="236" spans="1:34" ht="14.25" customHeight="1">
      <c r="A236" s="11"/>
      <c r="B236" s="12" t="str">
        <f>"参考価格"</f>
        <v>参考価格</v>
      </c>
      <c r="H236" s="12" t="str">
        <f>印刷シート!$I42 &amp; "円"</f>
        <v>円</v>
      </c>
      <c r="Q236" s="13"/>
      <c r="R236" s="11"/>
      <c r="S236" s="12" t="str">
        <f>"参考価格"</f>
        <v>参考価格</v>
      </c>
      <c r="Y236" s="12" t="str">
        <f>印刷シート!$I43 &amp; "円"</f>
        <v>円</v>
      </c>
      <c r="AH236" s="13"/>
    </row>
    <row r="237" spans="1:34" ht="14.25" customHeight="1">
      <c r="A237" s="18"/>
      <c r="B237" s="23" t="str">
        <f>IF(LEN(印刷シート!$B42)&gt;=7, Jan(印刷シート!$B42), "")</f>
        <v/>
      </c>
      <c r="C237" s="23"/>
      <c r="D237" s="23"/>
      <c r="E237" s="23"/>
      <c r="F237" s="23"/>
      <c r="G237" s="23"/>
      <c r="H237" s="23"/>
      <c r="I237" s="23"/>
      <c r="J237" s="23"/>
      <c r="K237" s="23"/>
      <c r="L237" s="24" t="str">
        <f>印刷シート!$K42</f>
        <v/>
      </c>
      <c r="M237" s="24"/>
      <c r="N237" s="24"/>
      <c r="Q237" s="13"/>
      <c r="R237" s="18"/>
      <c r="S237" s="23" t="str">
        <f>IF(LEN(印刷シート!$B43)&gt;=7, Jan(印刷シート!$B43), "")</f>
        <v/>
      </c>
      <c r="T237" s="23"/>
      <c r="U237" s="23"/>
      <c r="V237" s="23"/>
      <c r="W237" s="23"/>
      <c r="X237" s="23"/>
      <c r="Y237" s="23"/>
      <c r="Z237" s="23"/>
      <c r="AA237" s="23"/>
      <c r="AB237" s="23"/>
      <c r="AC237" s="24" t="str">
        <f>印刷シート!$K43</f>
        <v/>
      </c>
      <c r="AD237" s="24"/>
      <c r="AE237" s="24"/>
      <c r="AH237" s="13"/>
    </row>
    <row r="238" spans="1:34" ht="14.25" customHeight="1">
      <c r="A238" s="18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4"/>
      <c r="M238" s="24"/>
      <c r="N238" s="24"/>
      <c r="Q238" s="13"/>
      <c r="R238" s="18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4"/>
      <c r="AD238" s="24"/>
      <c r="AE238" s="24"/>
      <c r="AH238" s="13"/>
    </row>
    <row r="239" spans="1:34" ht="14.25" customHeight="1">
      <c r="A239" s="18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4"/>
      <c r="M239" s="24"/>
      <c r="N239" s="24"/>
      <c r="O239" s="12" t="str">
        <f>"円＋税"</f>
        <v>円＋税</v>
      </c>
      <c r="Q239" s="13"/>
      <c r="R239" s="18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4"/>
      <c r="AD239" s="24"/>
      <c r="AE239" s="24"/>
      <c r="AF239" s="12" t="str">
        <f>"円＋税"</f>
        <v>円＋税</v>
      </c>
      <c r="AH239" s="13"/>
    </row>
    <row r="240" spans="1:34" ht="14.25" customHeight="1">
      <c r="A240" s="14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6"/>
      <c r="R240" s="14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6"/>
    </row>
    <row r="241" spans="1:34" ht="14.25" customHeight="1">
      <c r="A241" s="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0"/>
      <c r="R241" s="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/>
      <c r="AD241" s="19"/>
      <c r="AE241" s="19"/>
      <c r="AF241" s="19"/>
      <c r="AG241" s="19"/>
      <c r="AH241" s="10"/>
    </row>
    <row r="242" spans="1:34" ht="14.25" customHeight="1">
      <c r="A242" s="11"/>
      <c r="B242" s="22" t="str">
        <f>印刷シート!$O44</f>
        <v/>
      </c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13"/>
      <c r="R242" s="11"/>
      <c r="S242" s="22" t="str">
        <f>印刷シート!$O45</f>
        <v/>
      </c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13"/>
    </row>
    <row r="243" spans="1:34" ht="14.25" customHeight="1">
      <c r="A243" s="1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13"/>
      <c r="R243" s="11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13"/>
    </row>
    <row r="244" spans="1:34" ht="14.25" customHeight="1">
      <c r="A244" s="11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13"/>
      <c r="R244" s="11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13"/>
    </row>
    <row r="245" spans="1:34" ht="14.25" customHeight="1">
      <c r="A245" s="11"/>
      <c r="B245" s="12" t="str">
        <f>印刷シート!$D44</f>
        <v/>
      </c>
      <c r="Q245" s="13"/>
      <c r="R245" s="11"/>
      <c r="S245" s="12" t="str">
        <f>印刷シート!$D45</f>
        <v/>
      </c>
      <c r="AH245" s="13"/>
    </row>
    <row r="246" spans="1:34" ht="14.25" customHeight="1">
      <c r="A246" s="11"/>
      <c r="B246" s="12" t="str">
        <f>印刷シート!$C44</f>
        <v/>
      </c>
      <c r="Q246" s="13"/>
      <c r="R246" s="11"/>
      <c r="S246" s="12" t="str">
        <f>印刷シート!$C45</f>
        <v/>
      </c>
      <c r="AH246" s="13"/>
    </row>
    <row r="247" spans="1:34" ht="14.25" customHeight="1">
      <c r="A247" s="11"/>
      <c r="B247" s="12" t="str">
        <f>"規格"</f>
        <v>規格</v>
      </c>
      <c r="H247" s="12" t="str">
        <f>印刷シート!$G44 &amp; 印刷シート!$H44</f>
        <v/>
      </c>
      <c r="Q247" s="13"/>
      <c r="R247" s="11"/>
      <c r="S247" s="12" t="str">
        <f>"規格"</f>
        <v>規格</v>
      </c>
      <c r="Y247" s="12" t="str">
        <f>印刷シート!$G45 &amp; 印刷シート!$H45</f>
        <v/>
      </c>
      <c r="AH247" s="13"/>
    </row>
    <row r="248" spans="1:34" ht="14.25" customHeight="1">
      <c r="A248" s="11"/>
      <c r="B248" s="12" t="str">
        <f>"参考価格"</f>
        <v>参考価格</v>
      </c>
      <c r="H248" s="12" t="str">
        <f>印刷シート!$I44 &amp; "円"</f>
        <v>円</v>
      </c>
      <c r="Q248" s="13"/>
      <c r="R248" s="11"/>
      <c r="S248" s="12" t="str">
        <f>"参考価格"</f>
        <v>参考価格</v>
      </c>
      <c r="Y248" s="12" t="str">
        <f>印刷シート!$I45 &amp; "円"</f>
        <v>円</v>
      </c>
      <c r="AH248" s="13"/>
    </row>
    <row r="249" spans="1:34" ht="14.25" customHeight="1">
      <c r="A249" s="18"/>
      <c r="B249" s="23" t="str">
        <f>IF(LEN(印刷シート!$B44)&gt;=7, Jan(印刷シート!$B44), "")</f>
        <v/>
      </c>
      <c r="C249" s="23"/>
      <c r="D249" s="23"/>
      <c r="E249" s="23"/>
      <c r="F249" s="23"/>
      <c r="G249" s="23"/>
      <c r="H249" s="23"/>
      <c r="I249" s="23"/>
      <c r="J249" s="23"/>
      <c r="K249" s="23"/>
      <c r="L249" s="24" t="str">
        <f>印刷シート!$K44</f>
        <v/>
      </c>
      <c r="M249" s="24"/>
      <c r="N249" s="24"/>
      <c r="Q249" s="13"/>
      <c r="R249" s="18"/>
      <c r="S249" s="23" t="str">
        <f>IF(LEN(印刷シート!$B45)&gt;=7, Jan(印刷シート!$B45), "")</f>
        <v/>
      </c>
      <c r="T249" s="23"/>
      <c r="U249" s="23"/>
      <c r="V249" s="23"/>
      <c r="W249" s="23"/>
      <c r="X249" s="23"/>
      <c r="Y249" s="23"/>
      <c r="Z249" s="23"/>
      <c r="AA249" s="23"/>
      <c r="AB249" s="23"/>
      <c r="AC249" s="24" t="str">
        <f>印刷シート!$K45</f>
        <v/>
      </c>
      <c r="AD249" s="24"/>
      <c r="AE249" s="24"/>
      <c r="AH249" s="13"/>
    </row>
    <row r="250" spans="1:34" ht="14.25" customHeight="1">
      <c r="A250" s="18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4"/>
      <c r="M250" s="24"/>
      <c r="N250" s="24"/>
      <c r="Q250" s="13"/>
      <c r="R250" s="18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4"/>
      <c r="AD250" s="24"/>
      <c r="AE250" s="24"/>
      <c r="AH250" s="13"/>
    </row>
    <row r="251" spans="1:34" ht="14.25" customHeight="1">
      <c r="A251" s="18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4"/>
      <c r="M251" s="24"/>
      <c r="N251" s="24"/>
      <c r="O251" s="12" t="str">
        <f>"円＋税"</f>
        <v>円＋税</v>
      </c>
      <c r="Q251" s="13"/>
      <c r="R251" s="18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4"/>
      <c r="AD251" s="24"/>
      <c r="AE251" s="24"/>
      <c r="AF251" s="12" t="str">
        <f>"円＋税"</f>
        <v>円＋税</v>
      </c>
      <c r="AH251" s="13"/>
    </row>
    <row r="252" spans="1:34" ht="14.25" customHeight="1">
      <c r="A252" s="14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6"/>
      <c r="R252" s="14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6"/>
    </row>
    <row r="253" spans="1:34" ht="14.25" customHeight="1">
      <c r="A253" s="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0"/>
      <c r="R253" s="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/>
      <c r="AD253" s="19"/>
      <c r="AE253" s="19"/>
      <c r="AF253" s="19"/>
      <c r="AG253" s="19"/>
      <c r="AH253" s="10"/>
    </row>
    <row r="254" spans="1:34" ht="14.25" customHeight="1">
      <c r="A254" s="11"/>
      <c r="B254" s="22" t="str">
        <f>印刷シート!$O46</f>
        <v/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13"/>
      <c r="R254" s="11"/>
      <c r="S254" s="22" t="str">
        <f>印刷シート!$O47</f>
        <v/>
      </c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13"/>
    </row>
    <row r="255" spans="1:34" ht="14.25" customHeight="1">
      <c r="A255" s="1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13"/>
      <c r="R255" s="11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13"/>
    </row>
    <row r="256" spans="1:34" ht="14.25" customHeight="1">
      <c r="A256" s="11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13"/>
      <c r="R256" s="11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/>
      <c r="AF256" s="22"/>
      <c r="AG256" s="22"/>
      <c r="AH256" s="13"/>
    </row>
    <row r="257" spans="1:34" ht="14.25" customHeight="1">
      <c r="A257" s="11"/>
      <c r="B257" s="12" t="str">
        <f>印刷シート!$D46</f>
        <v/>
      </c>
      <c r="Q257" s="13"/>
      <c r="R257" s="11"/>
      <c r="S257" s="12" t="str">
        <f>印刷シート!$D47</f>
        <v/>
      </c>
      <c r="AH257" s="13"/>
    </row>
    <row r="258" spans="1:34" ht="14.25" customHeight="1">
      <c r="A258" s="11"/>
      <c r="B258" s="12" t="str">
        <f>印刷シート!$C46</f>
        <v/>
      </c>
      <c r="Q258" s="13"/>
      <c r="R258" s="11"/>
      <c r="S258" s="12" t="str">
        <f>印刷シート!$C47</f>
        <v/>
      </c>
      <c r="AH258" s="13"/>
    </row>
    <row r="259" spans="1:34" ht="14.25" customHeight="1">
      <c r="A259" s="11"/>
      <c r="B259" s="12" t="str">
        <f>"規格"</f>
        <v>規格</v>
      </c>
      <c r="H259" s="12" t="str">
        <f>印刷シート!$G46 &amp; 印刷シート!$H46</f>
        <v/>
      </c>
      <c r="Q259" s="13"/>
      <c r="R259" s="11"/>
      <c r="S259" s="12" t="str">
        <f>"規格"</f>
        <v>規格</v>
      </c>
      <c r="Y259" s="12" t="str">
        <f>印刷シート!$G47 &amp; 印刷シート!$H47</f>
        <v/>
      </c>
      <c r="AH259" s="13"/>
    </row>
    <row r="260" spans="1:34" ht="14.25" customHeight="1">
      <c r="A260" s="11"/>
      <c r="B260" s="12" t="str">
        <f>"参考価格"</f>
        <v>参考価格</v>
      </c>
      <c r="H260" s="12" t="str">
        <f>印刷シート!$I46 &amp; "円"</f>
        <v>円</v>
      </c>
      <c r="Q260" s="13"/>
      <c r="R260" s="11"/>
      <c r="S260" s="12" t="str">
        <f>"参考価格"</f>
        <v>参考価格</v>
      </c>
      <c r="Y260" s="12" t="str">
        <f>印刷シート!$I47 &amp; "円"</f>
        <v>円</v>
      </c>
      <c r="AH260" s="13"/>
    </row>
    <row r="261" spans="1:34" ht="14.25" customHeight="1">
      <c r="A261" s="18"/>
      <c r="B261" s="23" t="str">
        <f>IF(LEN(印刷シート!$B46)&gt;=7, Jan(印刷シート!$B46), "")</f>
        <v/>
      </c>
      <c r="C261" s="23"/>
      <c r="D261" s="23"/>
      <c r="E261" s="23"/>
      <c r="F261" s="23"/>
      <c r="G261" s="23"/>
      <c r="H261" s="23"/>
      <c r="I261" s="23"/>
      <c r="J261" s="23"/>
      <c r="K261" s="23"/>
      <c r="L261" s="24" t="str">
        <f>印刷シート!$K46</f>
        <v/>
      </c>
      <c r="M261" s="24"/>
      <c r="N261" s="24"/>
      <c r="Q261" s="13"/>
      <c r="R261" s="18"/>
      <c r="S261" s="23" t="str">
        <f>IF(LEN(印刷シート!$B47)&gt;=7, Jan(印刷シート!$B47), "")</f>
        <v/>
      </c>
      <c r="T261" s="23"/>
      <c r="U261" s="23"/>
      <c r="V261" s="23"/>
      <c r="W261" s="23"/>
      <c r="X261" s="23"/>
      <c r="Y261" s="23"/>
      <c r="Z261" s="23"/>
      <c r="AA261" s="23"/>
      <c r="AB261" s="23"/>
      <c r="AC261" s="24" t="str">
        <f>印刷シート!$K47</f>
        <v/>
      </c>
      <c r="AD261" s="24"/>
      <c r="AE261" s="24"/>
      <c r="AH261" s="13"/>
    </row>
    <row r="262" spans="1:34" ht="14.25" customHeight="1">
      <c r="A262" s="18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4"/>
      <c r="M262" s="24"/>
      <c r="N262" s="24"/>
      <c r="Q262" s="13"/>
      <c r="R262" s="18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4"/>
      <c r="AD262" s="24"/>
      <c r="AE262" s="24"/>
      <c r="AH262" s="13"/>
    </row>
    <row r="263" spans="1:34" ht="14.25" customHeight="1">
      <c r="A263" s="18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4"/>
      <c r="M263" s="24"/>
      <c r="N263" s="24"/>
      <c r="O263" s="12" t="str">
        <f>"円＋税"</f>
        <v>円＋税</v>
      </c>
      <c r="Q263" s="13"/>
      <c r="R263" s="18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4"/>
      <c r="AD263" s="24"/>
      <c r="AE263" s="24"/>
      <c r="AF263" s="12" t="str">
        <f>"円＋税"</f>
        <v>円＋税</v>
      </c>
      <c r="AH263" s="13"/>
    </row>
    <row r="264" spans="1:34" ht="14.25" customHeight="1">
      <c r="A264" s="14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6"/>
      <c r="R264" s="14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6"/>
    </row>
    <row r="265" spans="1:34" ht="14.25" customHeight="1">
      <c r="A265" s="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0"/>
      <c r="R265" s="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/>
      <c r="AD265" s="19"/>
      <c r="AE265" s="19"/>
      <c r="AF265" s="19"/>
      <c r="AG265" s="19"/>
      <c r="AH265" s="10"/>
    </row>
    <row r="266" spans="1:34" ht="14.25" customHeight="1">
      <c r="A266" s="11"/>
      <c r="B266" s="22" t="str">
        <f>印刷シート!$O48</f>
        <v/>
      </c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13"/>
      <c r="R266" s="11"/>
      <c r="S266" s="22" t="str">
        <f>印刷シート!$O49</f>
        <v/>
      </c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/>
      <c r="AF266" s="22"/>
      <c r="AG266" s="22"/>
      <c r="AH266" s="13"/>
    </row>
    <row r="267" spans="1:34" ht="14.25" customHeight="1">
      <c r="A267" s="1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13"/>
      <c r="R267" s="11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13"/>
    </row>
    <row r="268" spans="1:34" ht="14.25" customHeight="1">
      <c r="A268" s="11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13"/>
      <c r="R268" s="11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/>
      <c r="AF268" s="22"/>
      <c r="AG268" s="22"/>
      <c r="AH268" s="13"/>
    </row>
    <row r="269" spans="1:34" ht="14.25" customHeight="1">
      <c r="A269" s="11"/>
      <c r="B269" s="12" t="str">
        <f>印刷シート!$D48</f>
        <v/>
      </c>
      <c r="Q269" s="13"/>
      <c r="R269" s="11"/>
      <c r="S269" s="12" t="str">
        <f>印刷シート!$D49</f>
        <v/>
      </c>
      <c r="AH269" s="13"/>
    </row>
    <row r="270" spans="1:34" ht="14.25" customHeight="1">
      <c r="A270" s="11"/>
      <c r="B270" s="12" t="str">
        <f>印刷シート!$C48</f>
        <v/>
      </c>
      <c r="Q270" s="13"/>
      <c r="R270" s="11"/>
      <c r="S270" s="12" t="str">
        <f>印刷シート!$C49</f>
        <v/>
      </c>
      <c r="AH270" s="13"/>
    </row>
    <row r="271" spans="1:34" ht="14.25" customHeight="1">
      <c r="A271" s="11"/>
      <c r="B271" s="12" t="str">
        <f>"規格"</f>
        <v>規格</v>
      </c>
      <c r="H271" s="12" t="str">
        <f>印刷シート!$G48 &amp; 印刷シート!$H48</f>
        <v/>
      </c>
      <c r="Q271" s="13"/>
      <c r="R271" s="11"/>
      <c r="S271" s="12" t="str">
        <f>"規格"</f>
        <v>規格</v>
      </c>
      <c r="Y271" s="12" t="str">
        <f>印刷シート!$G49 &amp; 印刷シート!$H49</f>
        <v/>
      </c>
      <c r="AH271" s="13"/>
    </row>
    <row r="272" spans="1:34" ht="14.25" customHeight="1">
      <c r="A272" s="11"/>
      <c r="B272" s="12" t="str">
        <f>"参考価格"</f>
        <v>参考価格</v>
      </c>
      <c r="H272" s="12" t="str">
        <f>印刷シート!$I48 &amp; "円"</f>
        <v>円</v>
      </c>
      <c r="Q272" s="13"/>
      <c r="R272" s="11"/>
      <c r="S272" s="12" t="str">
        <f>"参考価格"</f>
        <v>参考価格</v>
      </c>
      <c r="Y272" s="12" t="str">
        <f>印刷シート!$I49 &amp; "円"</f>
        <v>円</v>
      </c>
      <c r="AH272" s="13"/>
    </row>
    <row r="273" spans="1:34" ht="14.25" customHeight="1">
      <c r="A273" s="18"/>
      <c r="B273" s="23" t="str">
        <f>IF(LEN(印刷シート!$B48)&gt;=7, Jan(印刷シート!$B48), "")</f>
        <v/>
      </c>
      <c r="C273" s="23"/>
      <c r="D273" s="23"/>
      <c r="E273" s="23"/>
      <c r="F273" s="23"/>
      <c r="G273" s="23"/>
      <c r="H273" s="23"/>
      <c r="I273" s="23"/>
      <c r="J273" s="23"/>
      <c r="K273" s="23"/>
      <c r="L273" s="24" t="str">
        <f>印刷シート!$K48</f>
        <v/>
      </c>
      <c r="M273" s="24"/>
      <c r="N273" s="24"/>
      <c r="Q273" s="13"/>
      <c r="R273" s="18"/>
      <c r="S273" s="23" t="str">
        <f>IF(LEN(印刷シート!$B49)&gt;=7, Jan(印刷シート!$B49), "")</f>
        <v/>
      </c>
      <c r="T273" s="23"/>
      <c r="U273" s="23"/>
      <c r="V273" s="23"/>
      <c r="W273" s="23"/>
      <c r="X273" s="23"/>
      <c r="Y273" s="23"/>
      <c r="Z273" s="23"/>
      <c r="AA273" s="23"/>
      <c r="AB273" s="23"/>
      <c r="AC273" s="24" t="str">
        <f>印刷シート!$K49</f>
        <v/>
      </c>
      <c r="AD273" s="24"/>
      <c r="AE273" s="24"/>
      <c r="AH273" s="13"/>
    </row>
    <row r="274" spans="1:34" ht="14.25" customHeight="1">
      <c r="A274" s="18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4"/>
      <c r="M274" s="24"/>
      <c r="N274" s="24"/>
      <c r="Q274" s="13"/>
      <c r="R274" s="18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4"/>
      <c r="AD274" s="24"/>
      <c r="AE274" s="24"/>
      <c r="AH274" s="13"/>
    </row>
    <row r="275" spans="1:34" ht="14.25" customHeight="1">
      <c r="A275" s="18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4"/>
      <c r="M275" s="24"/>
      <c r="N275" s="24"/>
      <c r="O275" s="12" t="str">
        <f>"円＋税"</f>
        <v>円＋税</v>
      </c>
      <c r="Q275" s="13"/>
      <c r="R275" s="18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4"/>
      <c r="AD275" s="24"/>
      <c r="AE275" s="24"/>
      <c r="AF275" s="12" t="str">
        <f>"円＋税"</f>
        <v>円＋税</v>
      </c>
      <c r="AH275" s="13"/>
    </row>
    <row r="276" spans="1:34" ht="14.25" customHeight="1">
      <c r="A276" s="14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6"/>
      <c r="R276" s="14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6"/>
    </row>
    <row r="277" spans="1:34" ht="14.25" customHeight="1">
      <c r="A277" s="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0"/>
      <c r="R277" s="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0"/>
    </row>
    <row r="278" spans="1:34" ht="14.25" customHeight="1">
      <c r="A278" s="11"/>
      <c r="B278" s="22" t="str">
        <f>印刷シート!$O50</f>
        <v/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13"/>
      <c r="R278" s="11"/>
      <c r="S278" s="22" t="str">
        <f>印刷シート!$O51</f>
        <v/>
      </c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13"/>
    </row>
    <row r="279" spans="1:34" ht="14.25" customHeight="1">
      <c r="A279" s="1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13"/>
      <c r="R279" s="11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13"/>
    </row>
    <row r="280" spans="1:34" ht="14.25" customHeight="1">
      <c r="A280" s="11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13"/>
      <c r="R280" s="11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13"/>
    </row>
    <row r="281" spans="1:34" ht="14.25" customHeight="1">
      <c r="A281" s="11"/>
      <c r="B281" s="12" t="str">
        <f>印刷シート!$D50</f>
        <v/>
      </c>
      <c r="Q281" s="13"/>
      <c r="R281" s="11"/>
      <c r="S281" s="12" t="str">
        <f>印刷シート!$D51</f>
        <v/>
      </c>
      <c r="AH281" s="13"/>
    </row>
    <row r="282" spans="1:34" ht="14.25" customHeight="1">
      <c r="A282" s="11"/>
      <c r="B282" s="12" t="str">
        <f>印刷シート!$C50</f>
        <v/>
      </c>
      <c r="Q282" s="13"/>
      <c r="R282" s="11"/>
      <c r="S282" s="12" t="str">
        <f>印刷シート!$C51</f>
        <v/>
      </c>
      <c r="AH282" s="13"/>
    </row>
    <row r="283" spans="1:34" ht="14.25" customHeight="1">
      <c r="A283" s="11"/>
      <c r="B283" s="12" t="str">
        <f>"規格"</f>
        <v>規格</v>
      </c>
      <c r="H283" s="12" t="str">
        <f>印刷シート!$G50 &amp; 印刷シート!$H50</f>
        <v/>
      </c>
      <c r="Q283" s="13"/>
      <c r="R283" s="11"/>
      <c r="S283" s="12" t="str">
        <f>"規格"</f>
        <v>規格</v>
      </c>
      <c r="Y283" s="12" t="str">
        <f>印刷シート!$G51 &amp; 印刷シート!$H51</f>
        <v/>
      </c>
      <c r="AH283" s="13"/>
    </row>
    <row r="284" spans="1:34" ht="14.25" customHeight="1">
      <c r="A284" s="11"/>
      <c r="B284" s="12" t="str">
        <f>"参考価格"</f>
        <v>参考価格</v>
      </c>
      <c r="H284" s="12" t="str">
        <f>印刷シート!$I50 &amp; "円"</f>
        <v>円</v>
      </c>
      <c r="Q284" s="13"/>
      <c r="R284" s="11"/>
      <c r="S284" s="12" t="str">
        <f>"参考価格"</f>
        <v>参考価格</v>
      </c>
      <c r="Y284" s="12" t="str">
        <f>印刷シート!$I51 &amp; "円"</f>
        <v>円</v>
      </c>
      <c r="AH284" s="13"/>
    </row>
    <row r="285" spans="1:34" ht="14.25" customHeight="1">
      <c r="A285" s="18"/>
      <c r="B285" s="23" t="str">
        <f>IF(LEN(印刷シート!$B50)&gt;=7, Jan(印刷シート!$B50), "")</f>
        <v/>
      </c>
      <c r="C285" s="23"/>
      <c r="D285" s="23"/>
      <c r="E285" s="23"/>
      <c r="F285" s="23"/>
      <c r="G285" s="23"/>
      <c r="H285" s="23"/>
      <c r="I285" s="23"/>
      <c r="J285" s="23"/>
      <c r="K285" s="23"/>
      <c r="L285" s="24" t="str">
        <f>印刷シート!$K50</f>
        <v/>
      </c>
      <c r="M285" s="24"/>
      <c r="N285" s="24"/>
      <c r="Q285" s="13"/>
      <c r="R285" s="18"/>
      <c r="S285" s="23" t="str">
        <f>IF(LEN(印刷シート!$B51)&gt;=7, Jan(印刷シート!$B51), "")</f>
        <v/>
      </c>
      <c r="T285" s="23"/>
      <c r="U285" s="23"/>
      <c r="V285" s="23"/>
      <c r="W285" s="23"/>
      <c r="X285" s="23"/>
      <c r="Y285" s="23"/>
      <c r="Z285" s="23"/>
      <c r="AA285" s="23"/>
      <c r="AB285" s="23"/>
      <c r="AC285" s="24" t="str">
        <f>印刷シート!$K51</f>
        <v/>
      </c>
      <c r="AD285" s="24"/>
      <c r="AE285" s="24"/>
      <c r="AH285" s="13"/>
    </row>
    <row r="286" spans="1:34" ht="14.25" customHeight="1">
      <c r="A286" s="18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4"/>
      <c r="M286" s="24"/>
      <c r="N286" s="24"/>
      <c r="Q286" s="13"/>
      <c r="R286" s="18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4"/>
      <c r="AD286" s="24"/>
      <c r="AE286" s="24"/>
      <c r="AH286" s="13"/>
    </row>
    <row r="287" spans="1:34" ht="14.25" customHeight="1">
      <c r="A287" s="18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4"/>
      <c r="M287" s="24"/>
      <c r="N287" s="24"/>
      <c r="O287" s="12" t="str">
        <f>"円＋税"</f>
        <v>円＋税</v>
      </c>
      <c r="Q287" s="13"/>
      <c r="R287" s="18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4"/>
      <c r="AD287" s="24"/>
      <c r="AE287" s="24"/>
      <c r="AF287" s="12" t="str">
        <f>"円＋税"</f>
        <v>円＋税</v>
      </c>
      <c r="AH287" s="13"/>
    </row>
    <row r="288" spans="1:34" ht="14.25" customHeight="1">
      <c r="A288" s="14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6"/>
      <c r="R288" s="14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6"/>
    </row>
    <row r="289" spans="1:34" ht="14.25" customHeight="1">
      <c r="A289" s="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0"/>
      <c r="R289" s="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0"/>
    </row>
    <row r="290" spans="1:34" ht="14.25" customHeight="1">
      <c r="A290" s="11"/>
      <c r="B290" s="22" t="str">
        <f>印刷シート!$O52</f>
        <v/>
      </c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13"/>
      <c r="R290" s="11"/>
      <c r="S290" s="22" t="str">
        <f>印刷シート!$O53</f>
        <v/>
      </c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13"/>
    </row>
    <row r="291" spans="1:34" ht="14.25" customHeight="1">
      <c r="A291" s="1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13"/>
      <c r="R291" s="11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13"/>
    </row>
    <row r="292" spans="1:34" ht="14.25" customHeight="1">
      <c r="A292" s="11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13"/>
      <c r="R292" s="11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13"/>
    </row>
    <row r="293" spans="1:34" ht="14.25" customHeight="1">
      <c r="A293" s="11"/>
      <c r="B293" s="12" t="str">
        <f>印刷シート!$D52</f>
        <v/>
      </c>
      <c r="Q293" s="13"/>
      <c r="R293" s="11"/>
      <c r="S293" s="12" t="str">
        <f>印刷シート!$D53</f>
        <v/>
      </c>
      <c r="AH293" s="13"/>
    </row>
    <row r="294" spans="1:34" ht="14.25" customHeight="1">
      <c r="A294" s="11"/>
      <c r="B294" s="12" t="str">
        <f>印刷シート!$C52</f>
        <v/>
      </c>
      <c r="Q294" s="13"/>
      <c r="R294" s="11"/>
      <c r="S294" s="12" t="str">
        <f>印刷シート!$C53</f>
        <v/>
      </c>
      <c r="AH294" s="13"/>
    </row>
    <row r="295" spans="1:34" ht="14.25" customHeight="1">
      <c r="A295" s="11"/>
      <c r="B295" s="12" t="str">
        <f>"規格"</f>
        <v>規格</v>
      </c>
      <c r="H295" s="12" t="str">
        <f>印刷シート!$G52 &amp; 印刷シート!$H52</f>
        <v/>
      </c>
      <c r="Q295" s="13"/>
      <c r="R295" s="11"/>
      <c r="S295" s="12" t="str">
        <f>"規格"</f>
        <v>規格</v>
      </c>
      <c r="Y295" s="12" t="str">
        <f>印刷シート!$G53 &amp; 印刷シート!$H53</f>
        <v/>
      </c>
      <c r="AH295" s="13"/>
    </row>
    <row r="296" spans="1:34" ht="14.25" customHeight="1">
      <c r="A296" s="11"/>
      <c r="B296" s="12" t="str">
        <f>"参考価格"</f>
        <v>参考価格</v>
      </c>
      <c r="H296" s="12" t="str">
        <f>印刷シート!$I52 &amp; "円"</f>
        <v>円</v>
      </c>
      <c r="Q296" s="13"/>
      <c r="R296" s="11"/>
      <c r="S296" s="12" t="str">
        <f>"参考価格"</f>
        <v>参考価格</v>
      </c>
      <c r="Y296" s="12" t="str">
        <f>印刷シート!$I53 &amp; "円"</f>
        <v>円</v>
      </c>
      <c r="AH296" s="13"/>
    </row>
    <row r="297" spans="1:34" ht="14.25" customHeight="1">
      <c r="A297" s="18"/>
      <c r="B297" s="23" t="str">
        <f>IF(LEN(印刷シート!$B52)&gt;=7, Jan(印刷シート!$B52), "")</f>
        <v/>
      </c>
      <c r="C297" s="23"/>
      <c r="D297" s="23"/>
      <c r="E297" s="23"/>
      <c r="F297" s="23"/>
      <c r="G297" s="23"/>
      <c r="H297" s="23"/>
      <c r="I297" s="23"/>
      <c r="J297" s="23"/>
      <c r="K297" s="23"/>
      <c r="L297" s="24" t="str">
        <f>印刷シート!$K52</f>
        <v/>
      </c>
      <c r="M297" s="24"/>
      <c r="N297" s="24"/>
      <c r="Q297" s="13"/>
      <c r="R297" s="18"/>
      <c r="S297" s="23" t="str">
        <f>IF(LEN(印刷シート!$B53)&gt;=7, Jan(印刷シート!$B53), "")</f>
        <v/>
      </c>
      <c r="T297" s="23"/>
      <c r="U297" s="23"/>
      <c r="V297" s="23"/>
      <c r="W297" s="23"/>
      <c r="X297" s="23"/>
      <c r="Y297" s="23"/>
      <c r="Z297" s="23"/>
      <c r="AA297" s="23"/>
      <c r="AB297" s="23"/>
      <c r="AC297" s="24" t="str">
        <f>印刷シート!$K53</f>
        <v/>
      </c>
      <c r="AD297" s="24"/>
      <c r="AE297" s="24"/>
      <c r="AH297" s="13"/>
    </row>
    <row r="298" spans="1:34" ht="14.25" customHeight="1">
      <c r="A298" s="18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4"/>
      <c r="M298" s="24"/>
      <c r="N298" s="24"/>
      <c r="Q298" s="13"/>
      <c r="R298" s="18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4"/>
      <c r="AD298" s="24"/>
      <c r="AE298" s="24"/>
      <c r="AH298" s="13"/>
    </row>
    <row r="299" spans="1:34" ht="14.25" customHeight="1">
      <c r="A299" s="18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4"/>
      <c r="M299" s="24"/>
      <c r="N299" s="24"/>
      <c r="O299" s="12" t="str">
        <f>"円＋税"</f>
        <v>円＋税</v>
      </c>
      <c r="Q299" s="13"/>
      <c r="R299" s="18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4"/>
      <c r="AD299" s="24"/>
      <c r="AE299" s="24"/>
      <c r="AF299" s="12" t="str">
        <f>"円＋税"</f>
        <v>円＋税</v>
      </c>
      <c r="AH299" s="13"/>
    </row>
    <row r="300" spans="1:34" ht="14.25" customHeight="1">
      <c r="A300" s="14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6"/>
      <c r="R300" s="14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6"/>
    </row>
    <row r="301" spans="1:34" ht="14.25" customHeight="1">
      <c r="A301" s="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0"/>
      <c r="R301" s="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0"/>
    </row>
    <row r="302" spans="1:34" ht="14.25" customHeight="1">
      <c r="A302" s="11"/>
      <c r="B302" s="22" t="str">
        <f>印刷シート!$O54</f>
        <v/>
      </c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13"/>
      <c r="R302" s="11"/>
      <c r="S302" s="22" t="str">
        <f>印刷シート!$O55</f>
        <v/>
      </c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13"/>
    </row>
    <row r="303" spans="1:34" ht="14.25" customHeight="1">
      <c r="A303" s="1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13"/>
      <c r="R303" s="11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13"/>
    </row>
    <row r="304" spans="1:34" ht="14.25" customHeight="1">
      <c r="A304" s="11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13"/>
      <c r="R304" s="11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13"/>
    </row>
    <row r="305" spans="1:34" ht="14.25" customHeight="1">
      <c r="A305" s="11"/>
      <c r="B305" s="12" t="str">
        <f>印刷シート!$D54</f>
        <v/>
      </c>
      <c r="Q305" s="13"/>
      <c r="R305" s="11"/>
      <c r="S305" s="12" t="str">
        <f>印刷シート!$D55</f>
        <v/>
      </c>
      <c r="AH305" s="13"/>
    </row>
    <row r="306" spans="1:34" ht="14.25" customHeight="1">
      <c r="A306" s="11"/>
      <c r="B306" s="12" t="str">
        <f>印刷シート!$C54</f>
        <v/>
      </c>
      <c r="Q306" s="13"/>
      <c r="R306" s="11"/>
      <c r="S306" s="12" t="str">
        <f>印刷シート!$C55</f>
        <v/>
      </c>
      <c r="AH306" s="13"/>
    </row>
    <row r="307" spans="1:34" ht="14.25" customHeight="1">
      <c r="A307" s="11"/>
      <c r="B307" s="12" t="str">
        <f>"規格"</f>
        <v>規格</v>
      </c>
      <c r="H307" s="12" t="str">
        <f>印刷シート!$G54 &amp; 印刷シート!$H54</f>
        <v/>
      </c>
      <c r="Q307" s="13"/>
      <c r="R307" s="11"/>
      <c r="S307" s="12" t="str">
        <f>"規格"</f>
        <v>規格</v>
      </c>
      <c r="Y307" s="12" t="str">
        <f>印刷シート!$G55 &amp; 印刷シート!$H55</f>
        <v/>
      </c>
      <c r="AH307" s="13"/>
    </row>
    <row r="308" spans="1:34" ht="14.25" customHeight="1">
      <c r="A308" s="11"/>
      <c r="B308" s="12" t="str">
        <f>"参考価格"</f>
        <v>参考価格</v>
      </c>
      <c r="H308" s="12" t="str">
        <f>印刷シート!$I54 &amp; "円"</f>
        <v>円</v>
      </c>
      <c r="Q308" s="13"/>
      <c r="R308" s="11"/>
      <c r="S308" s="12" t="str">
        <f>"参考価格"</f>
        <v>参考価格</v>
      </c>
      <c r="Y308" s="12" t="str">
        <f>印刷シート!$I55 &amp; "円"</f>
        <v>円</v>
      </c>
      <c r="AH308" s="13"/>
    </row>
    <row r="309" spans="1:34" ht="14.25" customHeight="1">
      <c r="A309" s="18"/>
      <c r="B309" s="23" t="str">
        <f>IF(LEN(印刷シート!$B54)&gt;=7, Jan(印刷シート!$B54), "")</f>
        <v/>
      </c>
      <c r="C309" s="23"/>
      <c r="D309" s="23"/>
      <c r="E309" s="23"/>
      <c r="F309" s="23"/>
      <c r="G309" s="23"/>
      <c r="H309" s="23"/>
      <c r="I309" s="23"/>
      <c r="J309" s="23"/>
      <c r="K309" s="23"/>
      <c r="L309" s="24" t="str">
        <f>印刷シート!$K54</f>
        <v/>
      </c>
      <c r="M309" s="24"/>
      <c r="N309" s="24"/>
      <c r="Q309" s="13"/>
      <c r="R309" s="18"/>
      <c r="S309" s="23" t="str">
        <f>IF(LEN(印刷シート!$B55)&gt;=7, Jan(印刷シート!$B55), "")</f>
        <v/>
      </c>
      <c r="T309" s="23"/>
      <c r="U309" s="23"/>
      <c r="V309" s="23"/>
      <c r="W309" s="23"/>
      <c r="X309" s="23"/>
      <c r="Y309" s="23"/>
      <c r="Z309" s="23"/>
      <c r="AA309" s="23"/>
      <c r="AB309" s="23"/>
      <c r="AC309" s="24" t="str">
        <f>印刷シート!$K55</f>
        <v/>
      </c>
      <c r="AD309" s="24"/>
      <c r="AE309" s="24"/>
      <c r="AH309" s="13"/>
    </row>
    <row r="310" spans="1:34" ht="14.25" customHeight="1">
      <c r="A310" s="18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4"/>
      <c r="M310" s="24"/>
      <c r="N310" s="24"/>
      <c r="Q310" s="13"/>
      <c r="R310" s="18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4"/>
      <c r="AD310" s="24"/>
      <c r="AE310" s="24"/>
      <c r="AH310" s="13"/>
    </row>
    <row r="311" spans="1:34" ht="14.25" customHeight="1">
      <c r="A311" s="18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4"/>
      <c r="M311" s="24"/>
      <c r="N311" s="24"/>
      <c r="O311" s="12" t="str">
        <f>"円＋税"</f>
        <v>円＋税</v>
      </c>
      <c r="Q311" s="13"/>
      <c r="R311" s="18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4"/>
      <c r="AD311" s="24"/>
      <c r="AE311" s="24"/>
      <c r="AF311" s="12" t="str">
        <f>"円＋税"</f>
        <v>円＋税</v>
      </c>
      <c r="AH311" s="13"/>
    </row>
    <row r="312" spans="1:34" ht="14.25" customHeight="1">
      <c r="A312" s="14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6"/>
      <c r="R312" s="14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6"/>
    </row>
    <row r="313" spans="1:34" ht="14.25" customHeight="1">
      <c r="A313" s="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0"/>
      <c r="R313" s="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0"/>
    </row>
    <row r="314" spans="1:34" ht="14.25" customHeight="1">
      <c r="A314" s="11"/>
      <c r="B314" s="22" t="str">
        <f>印刷シート!$O56</f>
        <v/>
      </c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13"/>
      <c r="R314" s="11"/>
      <c r="S314" s="22" t="str">
        <f>印刷シート!$O57</f>
        <v/>
      </c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13"/>
    </row>
    <row r="315" spans="1:34" ht="14.25" customHeight="1">
      <c r="A315" s="1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13"/>
      <c r="R315" s="11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13"/>
    </row>
    <row r="316" spans="1:34" ht="14.25" customHeight="1">
      <c r="A316" s="11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13"/>
      <c r="R316" s="11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13"/>
    </row>
    <row r="317" spans="1:34" ht="14.25" customHeight="1">
      <c r="A317" s="11"/>
      <c r="B317" s="12" t="str">
        <f>印刷シート!$D56</f>
        <v/>
      </c>
      <c r="Q317" s="13"/>
      <c r="R317" s="11"/>
      <c r="S317" s="12" t="str">
        <f>印刷シート!$D57</f>
        <v/>
      </c>
      <c r="AH317" s="13"/>
    </row>
    <row r="318" spans="1:34" ht="14.25" customHeight="1">
      <c r="A318" s="11"/>
      <c r="B318" s="12" t="str">
        <f>印刷シート!$C56</f>
        <v/>
      </c>
      <c r="Q318" s="13"/>
      <c r="R318" s="11"/>
      <c r="S318" s="12" t="str">
        <f>印刷シート!$C57</f>
        <v/>
      </c>
      <c r="AH318" s="13"/>
    </row>
    <row r="319" spans="1:34" ht="14.25" customHeight="1">
      <c r="A319" s="11"/>
      <c r="B319" s="12" t="str">
        <f>"規格"</f>
        <v>規格</v>
      </c>
      <c r="H319" s="12" t="str">
        <f>印刷シート!$G56 &amp; 印刷シート!$H56</f>
        <v/>
      </c>
      <c r="Q319" s="13"/>
      <c r="R319" s="11"/>
      <c r="S319" s="12" t="str">
        <f>"規格"</f>
        <v>規格</v>
      </c>
      <c r="Y319" s="12" t="str">
        <f>印刷シート!$G57 &amp; 印刷シート!$H57</f>
        <v/>
      </c>
      <c r="AH319" s="13"/>
    </row>
    <row r="320" spans="1:34" ht="14.25" customHeight="1">
      <c r="A320" s="11"/>
      <c r="B320" s="12" t="str">
        <f>"参考価格"</f>
        <v>参考価格</v>
      </c>
      <c r="H320" s="12" t="str">
        <f>印刷シート!$I56 &amp; "円"</f>
        <v>円</v>
      </c>
      <c r="Q320" s="13"/>
      <c r="R320" s="11"/>
      <c r="S320" s="12" t="str">
        <f>"参考価格"</f>
        <v>参考価格</v>
      </c>
      <c r="Y320" s="12" t="str">
        <f>印刷シート!$I57 &amp; "円"</f>
        <v>円</v>
      </c>
      <c r="AH320" s="13"/>
    </row>
    <row r="321" spans="1:34" ht="14.25" customHeight="1">
      <c r="A321" s="18"/>
      <c r="B321" s="23" t="str">
        <f>IF(LEN(印刷シート!$B56)&gt;=7, Jan(印刷シート!$B56), "")</f>
        <v/>
      </c>
      <c r="C321" s="23"/>
      <c r="D321" s="23"/>
      <c r="E321" s="23"/>
      <c r="F321" s="23"/>
      <c r="G321" s="23"/>
      <c r="H321" s="23"/>
      <c r="I321" s="23"/>
      <c r="J321" s="23"/>
      <c r="K321" s="23"/>
      <c r="L321" s="24" t="str">
        <f>印刷シート!$K56</f>
        <v/>
      </c>
      <c r="M321" s="24"/>
      <c r="N321" s="24"/>
      <c r="Q321" s="13"/>
      <c r="R321" s="18"/>
      <c r="S321" s="23" t="str">
        <f>IF(LEN(印刷シート!$B57)&gt;=7, Jan(印刷シート!$B57), "")</f>
        <v/>
      </c>
      <c r="T321" s="23"/>
      <c r="U321" s="23"/>
      <c r="V321" s="23"/>
      <c r="W321" s="23"/>
      <c r="X321" s="23"/>
      <c r="Y321" s="23"/>
      <c r="Z321" s="23"/>
      <c r="AA321" s="23"/>
      <c r="AB321" s="23"/>
      <c r="AC321" s="24" t="str">
        <f>印刷シート!$K57</f>
        <v/>
      </c>
      <c r="AD321" s="24"/>
      <c r="AE321" s="24"/>
      <c r="AH321" s="13"/>
    </row>
    <row r="322" spans="1:34" ht="14.25" customHeight="1">
      <c r="A322" s="18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4"/>
      <c r="M322" s="24"/>
      <c r="N322" s="24"/>
      <c r="Q322" s="13"/>
      <c r="R322" s="18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4"/>
      <c r="AD322" s="24"/>
      <c r="AE322" s="24"/>
      <c r="AH322" s="13"/>
    </row>
    <row r="323" spans="1:34" ht="14.25" customHeight="1">
      <c r="A323" s="18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4"/>
      <c r="M323" s="24"/>
      <c r="N323" s="24"/>
      <c r="O323" s="12" t="str">
        <f>"円＋税"</f>
        <v>円＋税</v>
      </c>
      <c r="Q323" s="13"/>
      <c r="R323" s="18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4"/>
      <c r="AD323" s="24"/>
      <c r="AE323" s="24"/>
      <c r="AF323" s="12" t="str">
        <f>"円＋税"</f>
        <v>円＋税</v>
      </c>
      <c r="AH323" s="13"/>
    </row>
    <row r="324" spans="1:34" ht="14.25" customHeight="1">
      <c r="A324" s="14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6"/>
      <c r="R324" s="14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6"/>
    </row>
    <row r="325" spans="1:34" ht="14.25" customHeight="1">
      <c r="A325" s="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0"/>
      <c r="R325" s="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0"/>
    </row>
    <row r="326" spans="1:34" ht="14.25" customHeight="1">
      <c r="A326" s="11"/>
      <c r="B326" s="22" t="str">
        <f>印刷シート!$O58</f>
        <v/>
      </c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13"/>
      <c r="R326" s="11"/>
      <c r="S326" s="22" t="str">
        <f>印刷シート!$O59</f>
        <v/>
      </c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13"/>
    </row>
    <row r="327" spans="1:34" ht="14.25" customHeight="1">
      <c r="A327" s="1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13"/>
      <c r="R327" s="11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13"/>
    </row>
    <row r="328" spans="1:34" ht="14.25" customHeight="1">
      <c r="A328" s="11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13"/>
      <c r="R328" s="11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13"/>
    </row>
    <row r="329" spans="1:34" ht="14.25" customHeight="1">
      <c r="A329" s="11"/>
      <c r="B329" s="12" t="str">
        <f>印刷シート!$D58</f>
        <v/>
      </c>
      <c r="Q329" s="13"/>
      <c r="R329" s="11"/>
      <c r="S329" s="12" t="str">
        <f>印刷シート!$D59</f>
        <v/>
      </c>
      <c r="AH329" s="13"/>
    </row>
    <row r="330" spans="1:34" ht="14.25" customHeight="1">
      <c r="A330" s="11"/>
      <c r="B330" s="12" t="str">
        <f>印刷シート!$C58</f>
        <v/>
      </c>
      <c r="Q330" s="13"/>
      <c r="R330" s="11"/>
      <c r="S330" s="12" t="str">
        <f>印刷シート!$C59</f>
        <v/>
      </c>
      <c r="AH330" s="13"/>
    </row>
    <row r="331" spans="1:34" ht="14.25" customHeight="1">
      <c r="A331" s="11"/>
      <c r="B331" s="12" t="str">
        <f>"規格"</f>
        <v>規格</v>
      </c>
      <c r="H331" s="12" t="str">
        <f>印刷シート!$G58 &amp; 印刷シート!$H58</f>
        <v/>
      </c>
      <c r="Q331" s="13"/>
      <c r="R331" s="11"/>
      <c r="S331" s="12" t="str">
        <f>"規格"</f>
        <v>規格</v>
      </c>
      <c r="Y331" s="12" t="str">
        <f>印刷シート!$G59 &amp; 印刷シート!$H59</f>
        <v/>
      </c>
      <c r="AH331" s="13"/>
    </row>
    <row r="332" spans="1:34" ht="14.25" customHeight="1">
      <c r="A332" s="11"/>
      <c r="B332" s="12" t="str">
        <f>"参考価格"</f>
        <v>参考価格</v>
      </c>
      <c r="H332" s="12" t="str">
        <f>印刷シート!$I58 &amp; "円"</f>
        <v>円</v>
      </c>
      <c r="Q332" s="13"/>
      <c r="R332" s="11"/>
      <c r="S332" s="12" t="str">
        <f>"参考価格"</f>
        <v>参考価格</v>
      </c>
      <c r="Y332" s="12" t="str">
        <f>印刷シート!$I59 &amp; "円"</f>
        <v>円</v>
      </c>
      <c r="AH332" s="13"/>
    </row>
    <row r="333" spans="1:34" ht="14.25" customHeight="1">
      <c r="A333" s="18"/>
      <c r="B333" s="23" t="str">
        <f>IF(LEN(印刷シート!$B58)&gt;=7, Jan(印刷シート!$B58), "")</f>
        <v/>
      </c>
      <c r="C333" s="23"/>
      <c r="D333" s="23"/>
      <c r="E333" s="23"/>
      <c r="F333" s="23"/>
      <c r="G333" s="23"/>
      <c r="H333" s="23"/>
      <c r="I333" s="23"/>
      <c r="J333" s="23"/>
      <c r="K333" s="23"/>
      <c r="L333" s="24" t="str">
        <f>印刷シート!$K58</f>
        <v/>
      </c>
      <c r="M333" s="24"/>
      <c r="N333" s="24"/>
      <c r="Q333" s="13"/>
      <c r="R333" s="18"/>
      <c r="S333" s="23" t="str">
        <f>IF(LEN(印刷シート!$B59)&gt;=7, Jan(印刷シート!$B59), "")</f>
        <v/>
      </c>
      <c r="T333" s="23"/>
      <c r="U333" s="23"/>
      <c r="V333" s="23"/>
      <c r="W333" s="23"/>
      <c r="X333" s="23"/>
      <c r="Y333" s="23"/>
      <c r="Z333" s="23"/>
      <c r="AA333" s="23"/>
      <c r="AB333" s="23"/>
      <c r="AC333" s="24" t="str">
        <f>印刷シート!$K59</f>
        <v/>
      </c>
      <c r="AD333" s="24"/>
      <c r="AE333" s="24"/>
      <c r="AH333" s="13"/>
    </row>
    <row r="334" spans="1:34" ht="14.25" customHeight="1">
      <c r="A334" s="18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4"/>
      <c r="M334" s="24"/>
      <c r="N334" s="24"/>
      <c r="Q334" s="13"/>
      <c r="R334" s="18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4"/>
      <c r="AD334" s="24"/>
      <c r="AE334" s="24"/>
      <c r="AH334" s="13"/>
    </row>
    <row r="335" spans="1:34" ht="14.25" customHeight="1">
      <c r="A335" s="18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4"/>
      <c r="M335" s="24"/>
      <c r="N335" s="24"/>
      <c r="O335" s="12" t="str">
        <f>"円＋税"</f>
        <v>円＋税</v>
      </c>
      <c r="Q335" s="13"/>
      <c r="R335" s="18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4"/>
      <c r="AD335" s="24"/>
      <c r="AE335" s="24"/>
      <c r="AF335" s="12" t="str">
        <f>"円＋税"</f>
        <v>円＋税</v>
      </c>
      <c r="AH335" s="13"/>
    </row>
    <row r="336" spans="1:34" ht="14.25" customHeight="1">
      <c r="A336" s="14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6"/>
      <c r="R336" s="14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6"/>
    </row>
    <row r="337" spans="1:34" ht="14.25" customHeight="1">
      <c r="A337" s="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0"/>
      <c r="R337" s="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0"/>
    </row>
    <row r="338" spans="1:34" ht="14.25" customHeight="1">
      <c r="A338" s="11"/>
      <c r="B338" s="22" t="str">
        <f>印刷シート!$O60</f>
        <v/>
      </c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13"/>
      <c r="R338" s="11"/>
      <c r="S338" s="22" t="str">
        <f>印刷シート!$O61</f>
        <v/>
      </c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13"/>
    </row>
    <row r="339" spans="1:34" ht="14.25" customHeight="1">
      <c r="A339" s="1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13"/>
      <c r="R339" s="11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13"/>
    </row>
    <row r="340" spans="1:34" ht="14.25" customHeight="1">
      <c r="A340" s="11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13"/>
      <c r="R340" s="11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13"/>
    </row>
    <row r="341" spans="1:34" ht="14.25" customHeight="1">
      <c r="A341" s="11"/>
      <c r="B341" s="12" t="str">
        <f>印刷シート!$D60</f>
        <v/>
      </c>
      <c r="Q341" s="13"/>
      <c r="R341" s="11"/>
      <c r="S341" s="12" t="str">
        <f>印刷シート!$D61</f>
        <v/>
      </c>
      <c r="AH341" s="13"/>
    </row>
    <row r="342" spans="1:34" ht="14.25" customHeight="1">
      <c r="A342" s="11"/>
      <c r="B342" s="12" t="str">
        <f>印刷シート!$C60</f>
        <v/>
      </c>
      <c r="Q342" s="13"/>
      <c r="R342" s="11"/>
      <c r="S342" s="12" t="str">
        <f>印刷シート!$C61</f>
        <v/>
      </c>
      <c r="AH342" s="13"/>
    </row>
    <row r="343" spans="1:34" ht="14.25" customHeight="1">
      <c r="A343" s="11"/>
      <c r="B343" s="12" t="str">
        <f>"規格"</f>
        <v>規格</v>
      </c>
      <c r="H343" s="12" t="str">
        <f>印刷シート!$G60 &amp; 印刷シート!$H60</f>
        <v/>
      </c>
      <c r="Q343" s="13"/>
      <c r="R343" s="11"/>
      <c r="S343" s="12" t="str">
        <f>"規格"</f>
        <v>規格</v>
      </c>
      <c r="Y343" s="12" t="str">
        <f>印刷シート!$G61 &amp; 印刷シート!$H61</f>
        <v/>
      </c>
      <c r="AH343" s="13"/>
    </row>
    <row r="344" spans="1:34" ht="14.25" customHeight="1">
      <c r="A344" s="11"/>
      <c r="B344" s="12" t="str">
        <f>"参考価格"</f>
        <v>参考価格</v>
      </c>
      <c r="H344" s="12" t="str">
        <f>印刷シート!$I60 &amp; "円"</f>
        <v>円</v>
      </c>
      <c r="Q344" s="13"/>
      <c r="R344" s="11"/>
      <c r="S344" s="12" t="str">
        <f>"参考価格"</f>
        <v>参考価格</v>
      </c>
      <c r="Y344" s="12" t="str">
        <f>印刷シート!$I61 &amp; "円"</f>
        <v>円</v>
      </c>
      <c r="AH344" s="13"/>
    </row>
    <row r="345" spans="1:34" ht="14.25" customHeight="1">
      <c r="A345" s="18"/>
      <c r="B345" s="23" t="str">
        <f>IF(LEN(印刷シート!$B60)&gt;=7, Jan(印刷シート!$B60), "")</f>
        <v/>
      </c>
      <c r="C345" s="23"/>
      <c r="D345" s="23"/>
      <c r="E345" s="23"/>
      <c r="F345" s="23"/>
      <c r="G345" s="23"/>
      <c r="H345" s="23"/>
      <c r="I345" s="23"/>
      <c r="J345" s="23"/>
      <c r="K345" s="23"/>
      <c r="L345" s="24" t="str">
        <f>印刷シート!$K60</f>
        <v/>
      </c>
      <c r="M345" s="24"/>
      <c r="N345" s="24"/>
      <c r="Q345" s="13"/>
      <c r="R345" s="18"/>
      <c r="S345" s="23" t="str">
        <f>IF(LEN(印刷シート!$B61)&gt;=7, Jan(印刷シート!$B61), "")</f>
        <v/>
      </c>
      <c r="T345" s="23"/>
      <c r="U345" s="23"/>
      <c r="V345" s="23"/>
      <c r="W345" s="23"/>
      <c r="X345" s="23"/>
      <c r="Y345" s="23"/>
      <c r="Z345" s="23"/>
      <c r="AA345" s="23"/>
      <c r="AB345" s="23"/>
      <c r="AC345" s="24" t="str">
        <f>印刷シート!$K61</f>
        <v/>
      </c>
      <c r="AD345" s="24"/>
      <c r="AE345" s="24"/>
      <c r="AH345" s="13"/>
    </row>
    <row r="346" spans="1:34" ht="14.25" customHeight="1">
      <c r="A346" s="18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4"/>
      <c r="M346" s="24"/>
      <c r="N346" s="24"/>
      <c r="Q346" s="13"/>
      <c r="R346" s="18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4"/>
      <c r="AD346" s="24"/>
      <c r="AE346" s="24"/>
      <c r="AH346" s="13"/>
    </row>
    <row r="347" spans="1:34" ht="14.25" customHeight="1">
      <c r="A347" s="18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4"/>
      <c r="M347" s="24"/>
      <c r="N347" s="24"/>
      <c r="O347" s="12" t="str">
        <f>"円＋税"</f>
        <v>円＋税</v>
      </c>
      <c r="Q347" s="13"/>
      <c r="R347" s="18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4"/>
      <c r="AD347" s="24"/>
      <c r="AE347" s="24"/>
      <c r="AF347" s="12" t="str">
        <f>"円＋税"</f>
        <v>円＋税</v>
      </c>
      <c r="AH347" s="13"/>
    </row>
    <row r="348" spans="1:34" ht="14.25" customHeight="1">
      <c r="A348" s="14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6"/>
      <c r="R348" s="14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6"/>
    </row>
    <row r="349" spans="1:34" ht="14.25" customHeight="1">
      <c r="A349" s="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0"/>
      <c r="R349" s="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0"/>
    </row>
    <row r="350" spans="1:34" ht="14.25" customHeight="1">
      <c r="A350" s="11"/>
      <c r="B350" s="22" t="str">
        <f>印刷シート!$O62</f>
        <v/>
      </c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13"/>
      <c r="R350" s="11"/>
      <c r="S350" s="22" t="str">
        <f>印刷シート!$O63</f>
        <v/>
      </c>
      <c r="T350" s="22"/>
      <c r="U350" s="22"/>
      <c r="V350" s="22"/>
      <c r="W350" s="22"/>
      <c r="X350" s="22"/>
      <c r="Y350" s="22"/>
      <c r="Z350" s="22"/>
      <c r="AA350" s="22"/>
      <c r="AB350" s="22"/>
      <c r="AC350" s="22"/>
      <c r="AD350" s="22"/>
      <c r="AE350" s="22"/>
      <c r="AF350" s="22"/>
      <c r="AG350" s="22"/>
      <c r="AH350" s="13"/>
    </row>
    <row r="351" spans="1:34" ht="14.25" customHeight="1">
      <c r="A351" s="1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13"/>
      <c r="R351" s="11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13"/>
    </row>
    <row r="352" spans="1:34" ht="14.25" customHeight="1">
      <c r="A352" s="11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13"/>
      <c r="R352" s="11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  <c r="AD352" s="22"/>
      <c r="AE352" s="22"/>
      <c r="AF352" s="22"/>
      <c r="AG352" s="22"/>
      <c r="AH352" s="13"/>
    </row>
    <row r="353" spans="1:34" ht="14.25" customHeight="1">
      <c r="A353" s="11"/>
      <c r="B353" s="12" t="str">
        <f>印刷シート!$D62</f>
        <v/>
      </c>
      <c r="Q353" s="13"/>
      <c r="R353" s="11"/>
      <c r="S353" s="12" t="str">
        <f>印刷シート!$D63</f>
        <v/>
      </c>
      <c r="AH353" s="13"/>
    </row>
    <row r="354" spans="1:34" ht="14.25" customHeight="1">
      <c r="A354" s="11"/>
      <c r="B354" s="12" t="str">
        <f>印刷シート!$C62</f>
        <v/>
      </c>
      <c r="Q354" s="13"/>
      <c r="R354" s="11"/>
      <c r="S354" s="12" t="str">
        <f>印刷シート!$C63</f>
        <v/>
      </c>
      <c r="AH354" s="13"/>
    </row>
    <row r="355" spans="1:34" ht="14.25" customHeight="1">
      <c r="A355" s="11"/>
      <c r="B355" s="12" t="str">
        <f>"規格"</f>
        <v>規格</v>
      </c>
      <c r="H355" s="12" t="str">
        <f>印刷シート!$G62 &amp; 印刷シート!$H62</f>
        <v/>
      </c>
      <c r="Q355" s="13"/>
      <c r="R355" s="11"/>
      <c r="S355" s="12" t="str">
        <f>"規格"</f>
        <v>規格</v>
      </c>
      <c r="Y355" s="12" t="str">
        <f>印刷シート!$G63 &amp; 印刷シート!$H63</f>
        <v/>
      </c>
      <c r="AH355" s="13"/>
    </row>
    <row r="356" spans="1:34" ht="14.25" customHeight="1">
      <c r="A356" s="11"/>
      <c r="B356" s="12" t="str">
        <f>"参考価格"</f>
        <v>参考価格</v>
      </c>
      <c r="H356" s="12" t="str">
        <f>印刷シート!$I62 &amp; "円"</f>
        <v>円</v>
      </c>
      <c r="Q356" s="13"/>
      <c r="R356" s="11"/>
      <c r="S356" s="12" t="str">
        <f>"参考価格"</f>
        <v>参考価格</v>
      </c>
      <c r="Y356" s="12" t="str">
        <f>印刷シート!$I63 &amp; "円"</f>
        <v>円</v>
      </c>
      <c r="AH356" s="13"/>
    </row>
    <row r="357" spans="1:34" ht="14.25" customHeight="1">
      <c r="A357" s="18"/>
      <c r="B357" s="23" t="str">
        <f>IF(LEN(印刷シート!$B62)&gt;=7, Jan(印刷シート!$B62), "")</f>
        <v/>
      </c>
      <c r="C357" s="23"/>
      <c r="D357" s="23"/>
      <c r="E357" s="23"/>
      <c r="F357" s="23"/>
      <c r="G357" s="23"/>
      <c r="H357" s="23"/>
      <c r="I357" s="23"/>
      <c r="J357" s="23"/>
      <c r="K357" s="23"/>
      <c r="L357" s="24" t="str">
        <f>印刷シート!$K62</f>
        <v/>
      </c>
      <c r="M357" s="24"/>
      <c r="N357" s="24"/>
      <c r="Q357" s="13"/>
      <c r="R357" s="18"/>
      <c r="S357" s="23" t="str">
        <f>IF(LEN(印刷シート!$B63)&gt;=7, Jan(印刷シート!$B63), "")</f>
        <v/>
      </c>
      <c r="T357" s="23"/>
      <c r="U357" s="23"/>
      <c r="V357" s="23"/>
      <c r="W357" s="23"/>
      <c r="X357" s="23"/>
      <c r="Y357" s="23"/>
      <c r="Z357" s="23"/>
      <c r="AA357" s="23"/>
      <c r="AB357" s="23"/>
      <c r="AC357" s="24" t="str">
        <f>印刷シート!$K63</f>
        <v/>
      </c>
      <c r="AD357" s="24"/>
      <c r="AE357" s="24"/>
      <c r="AH357" s="13"/>
    </row>
    <row r="358" spans="1:34" ht="14.25" customHeight="1">
      <c r="A358" s="18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4"/>
      <c r="M358" s="24"/>
      <c r="N358" s="24"/>
      <c r="Q358" s="13"/>
      <c r="R358" s="18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4"/>
      <c r="AD358" s="24"/>
      <c r="AE358" s="24"/>
      <c r="AH358" s="13"/>
    </row>
    <row r="359" spans="1:34" ht="14.25" customHeight="1">
      <c r="A359" s="18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4"/>
      <c r="M359" s="24"/>
      <c r="N359" s="24"/>
      <c r="O359" s="12" t="str">
        <f>"円＋税"</f>
        <v>円＋税</v>
      </c>
      <c r="Q359" s="13"/>
      <c r="R359" s="18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4"/>
      <c r="AD359" s="24"/>
      <c r="AE359" s="24"/>
      <c r="AF359" s="12" t="str">
        <f>"円＋税"</f>
        <v>円＋税</v>
      </c>
      <c r="AH359" s="13"/>
    </row>
    <row r="360" spans="1:34" ht="14.25" customHeight="1">
      <c r="A360" s="14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6"/>
      <c r="R360" s="14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  <c r="AG360" s="15"/>
      <c r="AH360" s="16"/>
    </row>
    <row r="361" spans="1:34" ht="14.25" customHeight="1">
      <c r="A361" s="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0"/>
      <c r="R361" s="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/>
      <c r="AD361" s="19"/>
      <c r="AE361" s="19"/>
      <c r="AF361" s="19"/>
      <c r="AG361" s="19"/>
      <c r="AH361" s="10"/>
    </row>
    <row r="362" spans="1:34" ht="14.25" customHeight="1">
      <c r="A362" s="11"/>
      <c r="B362" s="22" t="str">
        <f>印刷シート!$O64</f>
        <v/>
      </c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13"/>
      <c r="R362" s="11"/>
      <c r="S362" s="22" t="str">
        <f>印刷シート!$O65</f>
        <v/>
      </c>
      <c r="T362" s="22"/>
      <c r="U362" s="22"/>
      <c r="V362" s="22"/>
      <c r="W362" s="22"/>
      <c r="X362" s="22"/>
      <c r="Y362" s="22"/>
      <c r="Z362" s="22"/>
      <c r="AA362" s="22"/>
      <c r="AB362" s="22"/>
      <c r="AC362" s="22"/>
      <c r="AD362" s="22"/>
      <c r="AE362" s="22"/>
      <c r="AF362" s="22"/>
      <c r="AG362" s="22"/>
      <c r="AH362" s="13"/>
    </row>
    <row r="363" spans="1:34" ht="14.25" customHeight="1">
      <c r="A363" s="1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13"/>
      <c r="R363" s="11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13"/>
    </row>
    <row r="364" spans="1:34" ht="14.25" customHeight="1">
      <c r="A364" s="11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13"/>
      <c r="R364" s="11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13"/>
    </row>
    <row r="365" spans="1:34" ht="14.25" customHeight="1">
      <c r="A365" s="11"/>
      <c r="B365" s="12" t="str">
        <f>印刷シート!$D64</f>
        <v/>
      </c>
      <c r="Q365" s="13"/>
      <c r="R365" s="11"/>
      <c r="S365" s="12" t="str">
        <f>印刷シート!$D65</f>
        <v/>
      </c>
      <c r="AH365" s="13"/>
    </row>
    <row r="366" spans="1:34" ht="14.25" customHeight="1">
      <c r="A366" s="11"/>
      <c r="B366" s="12" t="str">
        <f>印刷シート!$C64</f>
        <v/>
      </c>
      <c r="Q366" s="13"/>
      <c r="R366" s="11"/>
      <c r="S366" s="12" t="str">
        <f>印刷シート!$C65</f>
        <v/>
      </c>
      <c r="AH366" s="13"/>
    </row>
    <row r="367" spans="1:34" ht="14.25" customHeight="1">
      <c r="A367" s="11"/>
      <c r="B367" s="12" t="str">
        <f>"規格"</f>
        <v>規格</v>
      </c>
      <c r="H367" s="12" t="str">
        <f>印刷シート!$G64 &amp; 印刷シート!$H64</f>
        <v/>
      </c>
      <c r="Q367" s="13"/>
      <c r="R367" s="11"/>
      <c r="S367" s="12" t="str">
        <f>"規格"</f>
        <v>規格</v>
      </c>
      <c r="Y367" s="12" t="str">
        <f>印刷シート!$G65 &amp; 印刷シート!$H65</f>
        <v/>
      </c>
      <c r="AH367" s="13"/>
    </row>
    <row r="368" spans="1:34" ht="14.25" customHeight="1">
      <c r="A368" s="11"/>
      <c r="B368" s="12" t="str">
        <f>"参考価格"</f>
        <v>参考価格</v>
      </c>
      <c r="H368" s="12" t="str">
        <f>印刷シート!$I64 &amp; "円"</f>
        <v>円</v>
      </c>
      <c r="Q368" s="13"/>
      <c r="R368" s="11"/>
      <c r="S368" s="12" t="str">
        <f>"参考価格"</f>
        <v>参考価格</v>
      </c>
      <c r="Y368" s="12" t="str">
        <f>印刷シート!$I65 &amp; "円"</f>
        <v>円</v>
      </c>
      <c r="AH368" s="13"/>
    </row>
    <row r="369" spans="1:34" ht="14.25" customHeight="1">
      <c r="A369" s="18"/>
      <c r="B369" s="23" t="str">
        <f>IF(LEN(印刷シート!$B64)&gt;=7, Jan(印刷シート!$B64), "")</f>
        <v/>
      </c>
      <c r="C369" s="23"/>
      <c r="D369" s="23"/>
      <c r="E369" s="23"/>
      <c r="F369" s="23"/>
      <c r="G369" s="23"/>
      <c r="H369" s="23"/>
      <c r="I369" s="23"/>
      <c r="J369" s="23"/>
      <c r="K369" s="23"/>
      <c r="L369" s="24" t="str">
        <f>印刷シート!$K64</f>
        <v/>
      </c>
      <c r="M369" s="24"/>
      <c r="N369" s="24"/>
      <c r="Q369" s="13"/>
      <c r="R369" s="18"/>
      <c r="S369" s="23" t="str">
        <f>IF(LEN(印刷シート!$B65)&gt;=7, Jan(印刷シート!$B65), "")</f>
        <v/>
      </c>
      <c r="T369" s="23"/>
      <c r="U369" s="23"/>
      <c r="V369" s="23"/>
      <c r="W369" s="23"/>
      <c r="X369" s="23"/>
      <c r="Y369" s="23"/>
      <c r="Z369" s="23"/>
      <c r="AA369" s="23"/>
      <c r="AB369" s="23"/>
      <c r="AC369" s="24" t="str">
        <f>印刷シート!$K65</f>
        <v/>
      </c>
      <c r="AD369" s="24"/>
      <c r="AE369" s="24"/>
      <c r="AH369" s="13"/>
    </row>
    <row r="370" spans="1:34" ht="14.25" customHeight="1">
      <c r="A370" s="18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4"/>
      <c r="M370" s="24"/>
      <c r="N370" s="24"/>
      <c r="Q370" s="13"/>
      <c r="R370" s="18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4"/>
      <c r="AD370" s="24"/>
      <c r="AE370" s="24"/>
      <c r="AH370" s="13"/>
    </row>
    <row r="371" spans="1:34" ht="14.25" customHeight="1">
      <c r="A371" s="18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4"/>
      <c r="M371" s="24"/>
      <c r="N371" s="24"/>
      <c r="O371" s="12" t="str">
        <f>"円＋税"</f>
        <v>円＋税</v>
      </c>
      <c r="Q371" s="13"/>
      <c r="R371" s="18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4"/>
      <c r="AD371" s="24"/>
      <c r="AE371" s="24"/>
      <c r="AF371" s="12" t="str">
        <f>"円＋税"</f>
        <v>円＋税</v>
      </c>
      <c r="AH371" s="13"/>
    </row>
    <row r="372" spans="1:34" ht="14.25" customHeight="1">
      <c r="A372" s="14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6"/>
      <c r="R372" s="14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  <c r="AG372" s="15"/>
      <c r="AH372" s="16"/>
    </row>
    <row r="373" spans="1:34" ht="14.25" customHeight="1">
      <c r="A373" s="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0"/>
      <c r="R373" s="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/>
      <c r="AD373" s="19"/>
      <c r="AE373" s="19"/>
      <c r="AF373" s="19"/>
      <c r="AG373" s="19"/>
      <c r="AH373" s="10"/>
    </row>
    <row r="374" spans="1:34" ht="14.25" customHeight="1">
      <c r="A374" s="11"/>
      <c r="B374" s="22" t="str">
        <f>印刷シート!$O66</f>
        <v/>
      </c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13"/>
      <c r="R374" s="11"/>
      <c r="S374" s="22" t="str">
        <f>印刷シート!$O67</f>
        <v/>
      </c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13"/>
    </row>
    <row r="375" spans="1:34" ht="14.25" customHeight="1">
      <c r="A375" s="1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13"/>
      <c r="R375" s="11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13"/>
    </row>
    <row r="376" spans="1:34" ht="14.25" customHeight="1">
      <c r="A376" s="11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13"/>
      <c r="R376" s="11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13"/>
    </row>
    <row r="377" spans="1:34" ht="14.25" customHeight="1">
      <c r="A377" s="11"/>
      <c r="B377" s="12" t="str">
        <f>印刷シート!$D66</f>
        <v/>
      </c>
      <c r="Q377" s="13"/>
      <c r="R377" s="11"/>
      <c r="S377" s="12" t="str">
        <f>印刷シート!$D67</f>
        <v/>
      </c>
      <c r="AH377" s="13"/>
    </row>
    <row r="378" spans="1:34" ht="14.25" customHeight="1">
      <c r="A378" s="11"/>
      <c r="B378" s="12" t="str">
        <f>印刷シート!$C66</f>
        <v/>
      </c>
      <c r="Q378" s="13"/>
      <c r="R378" s="11"/>
      <c r="S378" s="12" t="str">
        <f>印刷シート!$C67</f>
        <v/>
      </c>
      <c r="AH378" s="13"/>
    </row>
    <row r="379" spans="1:34" ht="14.25" customHeight="1">
      <c r="A379" s="11"/>
      <c r="B379" s="12" t="str">
        <f>"規格"</f>
        <v>規格</v>
      </c>
      <c r="H379" s="12" t="str">
        <f>印刷シート!$G66 &amp; 印刷シート!$H66</f>
        <v/>
      </c>
      <c r="Q379" s="13"/>
      <c r="R379" s="11"/>
      <c r="S379" s="12" t="str">
        <f>"規格"</f>
        <v>規格</v>
      </c>
      <c r="Y379" s="12" t="str">
        <f>印刷シート!$G67 &amp; 印刷シート!$H67</f>
        <v/>
      </c>
      <c r="AH379" s="13"/>
    </row>
    <row r="380" spans="1:34" ht="14.25" customHeight="1">
      <c r="A380" s="11"/>
      <c r="B380" s="12" t="str">
        <f>"参考価格"</f>
        <v>参考価格</v>
      </c>
      <c r="H380" s="12" t="str">
        <f>印刷シート!$I66 &amp; "円"</f>
        <v>円</v>
      </c>
      <c r="Q380" s="13"/>
      <c r="R380" s="11"/>
      <c r="S380" s="12" t="str">
        <f>"参考価格"</f>
        <v>参考価格</v>
      </c>
      <c r="Y380" s="12" t="str">
        <f>印刷シート!$I67 &amp; "円"</f>
        <v>円</v>
      </c>
      <c r="AH380" s="13"/>
    </row>
    <row r="381" spans="1:34" ht="14.25" customHeight="1">
      <c r="A381" s="18"/>
      <c r="B381" s="23" t="str">
        <f>IF(LEN(印刷シート!$B66)&gt;=7, Jan(印刷シート!$B66), "")</f>
        <v/>
      </c>
      <c r="C381" s="23"/>
      <c r="D381" s="23"/>
      <c r="E381" s="23"/>
      <c r="F381" s="23"/>
      <c r="G381" s="23"/>
      <c r="H381" s="23"/>
      <c r="I381" s="23"/>
      <c r="J381" s="23"/>
      <c r="K381" s="23"/>
      <c r="L381" s="24" t="str">
        <f>印刷シート!$K66</f>
        <v/>
      </c>
      <c r="M381" s="24"/>
      <c r="N381" s="24"/>
      <c r="Q381" s="13"/>
      <c r="R381" s="18"/>
      <c r="S381" s="23" t="str">
        <f>IF(LEN(印刷シート!$B67)&gt;=7, Jan(印刷シート!$B67), "")</f>
        <v/>
      </c>
      <c r="T381" s="23"/>
      <c r="U381" s="23"/>
      <c r="V381" s="23"/>
      <c r="W381" s="23"/>
      <c r="X381" s="23"/>
      <c r="Y381" s="23"/>
      <c r="Z381" s="23"/>
      <c r="AA381" s="23"/>
      <c r="AB381" s="23"/>
      <c r="AC381" s="24" t="str">
        <f>印刷シート!$K67</f>
        <v/>
      </c>
      <c r="AD381" s="24"/>
      <c r="AE381" s="24"/>
      <c r="AH381" s="13"/>
    </row>
    <row r="382" spans="1:34" ht="14.25" customHeight="1">
      <c r="A382" s="18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4"/>
      <c r="M382" s="24"/>
      <c r="N382" s="24"/>
      <c r="Q382" s="13"/>
      <c r="R382" s="18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4"/>
      <c r="AD382" s="24"/>
      <c r="AE382" s="24"/>
      <c r="AH382" s="13"/>
    </row>
    <row r="383" spans="1:34" ht="14.25" customHeight="1">
      <c r="A383" s="18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4"/>
      <c r="M383" s="24"/>
      <c r="N383" s="24"/>
      <c r="O383" s="12" t="str">
        <f>"円＋税"</f>
        <v>円＋税</v>
      </c>
      <c r="Q383" s="13"/>
      <c r="R383" s="18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4"/>
      <c r="AD383" s="24"/>
      <c r="AE383" s="24"/>
      <c r="AF383" s="12" t="str">
        <f>"円＋税"</f>
        <v>円＋税</v>
      </c>
      <c r="AH383" s="13"/>
    </row>
    <row r="384" spans="1:34" ht="14.25" customHeight="1">
      <c r="A384" s="14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6"/>
      <c r="R384" s="14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  <c r="AG384" s="15"/>
      <c r="AH384" s="16"/>
    </row>
    <row r="385" spans="1:34" ht="14.25" customHeight="1">
      <c r="A385" s="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0"/>
      <c r="R385" s="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/>
      <c r="AD385" s="19"/>
      <c r="AE385" s="19"/>
      <c r="AF385" s="19"/>
      <c r="AG385" s="19"/>
      <c r="AH385" s="10"/>
    </row>
    <row r="386" spans="1:34" ht="14.25" customHeight="1">
      <c r="A386" s="11"/>
      <c r="B386" s="22" t="str">
        <f>印刷シート!$O68</f>
        <v/>
      </c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13"/>
      <c r="R386" s="11"/>
      <c r="S386" s="22" t="str">
        <f>印刷シート!$O69</f>
        <v/>
      </c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13"/>
    </row>
    <row r="387" spans="1:34" ht="14.25" customHeight="1">
      <c r="A387" s="11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13"/>
      <c r="R387" s="11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13"/>
    </row>
    <row r="388" spans="1:34" ht="14.25" customHeight="1">
      <c r="A388" s="11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13"/>
      <c r="R388" s="11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13"/>
    </row>
    <row r="389" spans="1:34" ht="14.25" customHeight="1">
      <c r="A389" s="11"/>
      <c r="B389" s="12" t="str">
        <f>印刷シート!$D68</f>
        <v/>
      </c>
      <c r="Q389" s="13"/>
      <c r="R389" s="11"/>
      <c r="S389" s="12" t="str">
        <f>印刷シート!$D69</f>
        <v/>
      </c>
      <c r="AH389" s="13"/>
    </row>
    <row r="390" spans="1:34" ht="14.25" customHeight="1">
      <c r="A390" s="11"/>
      <c r="B390" s="12" t="str">
        <f>印刷シート!$C68</f>
        <v/>
      </c>
      <c r="Q390" s="13"/>
      <c r="R390" s="11"/>
      <c r="S390" s="12" t="str">
        <f>印刷シート!$C69</f>
        <v/>
      </c>
      <c r="AH390" s="13"/>
    </row>
    <row r="391" spans="1:34" ht="14.25" customHeight="1">
      <c r="A391" s="11"/>
      <c r="B391" s="12" t="str">
        <f>"規格"</f>
        <v>規格</v>
      </c>
      <c r="H391" s="12" t="str">
        <f>印刷シート!$G68 &amp; 印刷シート!$H68</f>
        <v/>
      </c>
      <c r="Q391" s="13"/>
      <c r="R391" s="11"/>
      <c r="S391" s="12" t="str">
        <f>"規格"</f>
        <v>規格</v>
      </c>
      <c r="Y391" s="12" t="str">
        <f>印刷シート!$G69 &amp; 印刷シート!$H69</f>
        <v/>
      </c>
      <c r="AH391" s="13"/>
    </row>
    <row r="392" spans="1:34" ht="14.25" customHeight="1">
      <c r="A392" s="11"/>
      <c r="B392" s="12" t="str">
        <f>"参考価格"</f>
        <v>参考価格</v>
      </c>
      <c r="H392" s="12" t="str">
        <f>印刷シート!$I68 &amp; "円"</f>
        <v>円</v>
      </c>
      <c r="Q392" s="13"/>
      <c r="R392" s="11"/>
      <c r="S392" s="12" t="str">
        <f>"参考価格"</f>
        <v>参考価格</v>
      </c>
      <c r="Y392" s="12" t="str">
        <f>印刷シート!$I69 &amp; "円"</f>
        <v>円</v>
      </c>
      <c r="AH392" s="13"/>
    </row>
    <row r="393" spans="1:34" ht="14.25" customHeight="1">
      <c r="A393" s="18"/>
      <c r="B393" s="23" t="str">
        <f>IF(LEN(印刷シート!$B68)&gt;=7, Jan(印刷シート!$B68), "")</f>
        <v/>
      </c>
      <c r="C393" s="23"/>
      <c r="D393" s="23"/>
      <c r="E393" s="23"/>
      <c r="F393" s="23"/>
      <c r="G393" s="23"/>
      <c r="H393" s="23"/>
      <c r="I393" s="23"/>
      <c r="J393" s="23"/>
      <c r="K393" s="23"/>
      <c r="L393" s="24" t="str">
        <f>印刷シート!$K68</f>
        <v/>
      </c>
      <c r="M393" s="24"/>
      <c r="N393" s="24"/>
      <c r="Q393" s="13"/>
      <c r="R393" s="18"/>
      <c r="S393" s="23" t="str">
        <f>IF(LEN(印刷シート!$B69)&gt;=7, Jan(印刷シート!$B69), "")</f>
        <v/>
      </c>
      <c r="T393" s="23"/>
      <c r="U393" s="23"/>
      <c r="V393" s="23"/>
      <c r="W393" s="23"/>
      <c r="X393" s="23"/>
      <c r="Y393" s="23"/>
      <c r="Z393" s="23"/>
      <c r="AA393" s="23"/>
      <c r="AB393" s="23"/>
      <c r="AC393" s="24" t="str">
        <f>印刷シート!$K69</f>
        <v/>
      </c>
      <c r="AD393" s="24"/>
      <c r="AE393" s="24"/>
      <c r="AH393" s="13"/>
    </row>
    <row r="394" spans="1:34" ht="14.25" customHeight="1">
      <c r="A394" s="18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4"/>
      <c r="M394" s="24"/>
      <c r="N394" s="24"/>
      <c r="Q394" s="13"/>
      <c r="R394" s="18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4"/>
      <c r="AD394" s="24"/>
      <c r="AE394" s="24"/>
      <c r="AH394" s="13"/>
    </row>
    <row r="395" spans="1:34" ht="14.25" customHeight="1">
      <c r="A395" s="18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4"/>
      <c r="M395" s="24"/>
      <c r="N395" s="24"/>
      <c r="O395" s="12" t="str">
        <f>"円＋税"</f>
        <v>円＋税</v>
      </c>
      <c r="Q395" s="13"/>
      <c r="R395" s="18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4"/>
      <c r="AD395" s="24"/>
      <c r="AE395" s="24"/>
      <c r="AF395" s="12" t="str">
        <f>"円＋税"</f>
        <v>円＋税</v>
      </c>
      <c r="AH395" s="13"/>
    </row>
    <row r="396" spans="1:34" ht="14.25" customHeight="1">
      <c r="A396" s="14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6"/>
      <c r="R396" s="14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  <c r="AG396" s="15"/>
      <c r="AH396" s="16"/>
    </row>
    <row r="397" spans="1:34" ht="14.25" customHeight="1">
      <c r="A397" s="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0"/>
      <c r="R397" s="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/>
      <c r="AD397" s="19"/>
      <c r="AE397" s="19"/>
      <c r="AF397" s="19"/>
      <c r="AG397" s="19"/>
      <c r="AH397" s="10"/>
    </row>
    <row r="398" spans="1:34" ht="14.25" customHeight="1">
      <c r="A398" s="11"/>
      <c r="B398" s="22" t="str">
        <f>印刷シート!$O70</f>
        <v/>
      </c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13"/>
      <c r="R398" s="11"/>
      <c r="S398" s="22" t="str">
        <f>印刷シート!$O71</f>
        <v/>
      </c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13"/>
    </row>
    <row r="399" spans="1:34" ht="14.25" customHeight="1">
      <c r="A399" s="11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13"/>
      <c r="R399" s="11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13"/>
    </row>
    <row r="400" spans="1:34" ht="14.25" customHeight="1">
      <c r="A400" s="11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13"/>
      <c r="R400" s="11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13"/>
    </row>
    <row r="401" spans="1:34" ht="14.25" customHeight="1">
      <c r="A401" s="11"/>
      <c r="B401" s="12" t="str">
        <f>印刷シート!$D70</f>
        <v/>
      </c>
      <c r="Q401" s="13"/>
      <c r="R401" s="11"/>
      <c r="S401" s="12" t="str">
        <f>印刷シート!$D71</f>
        <v/>
      </c>
      <c r="AH401" s="13"/>
    </row>
    <row r="402" spans="1:34" ht="14.25" customHeight="1">
      <c r="A402" s="11"/>
      <c r="B402" s="12" t="str">
        <f>印刷シート!$C70</f>
        <v/>
      </c>
      <c r="Q402" s="13"/>
      <c r="R402" s="11"/>
      <c r="S402" s="12" t="str">
        <f>印刷シート!$C71</f>
        <v/>
      </c>
      <c r="AH402" s="13"/>
    </row>
    <row r="403" spans="1:34" ht="14.25" customHeight="1">
      <c r="A403" s="11"/>
      <c r="B403" s="12" t="str">
        <f>"規格"</f>
        <v>規格</v>
      </c>
      <c r="H403" s="12" t="str">
        <f>印刷シート!$G70 &amp; 印刷シート!$H70</f>
        <v/>
      </c>
      <c r="Q403" s="13"/>
      <c r="R403" s="11"/>
      <c r="S403" s="12" t="str">
        <f>"規格"</f>
        <v>規格</v>
      </c>
      <c r="Y403" s="12" t="str">
        <f>印刷シート!$G71 &amp; 印刷シート!$H71</f>
        <v/>
      </c>
      <c r="AH403" s="13"/>
    </row>
    <row r="404" spans="1:34" ht="14.25" customHeight="1">
      <c r="A404" s="11"/>
      <c r="B404" s="12" t="str">
        <f>"参考価格"</f>
        <v>参考価格</v>
      </c>
      <c r="H404" s="12" t="str">
        <f>印刷シート!$I70 &amp; "円"</f>
        <v>円</v>
      </c>
      <c r="Q404" s="13"/>
      <c r="R404" s="11"/>
      <c r="S404" s="12" t="str">
        <f>"参考価格"</f>
        <v>参考価格</v>
      </c>
      <c r="Y404" s="12" t="str">
        <f>印刷シート!$I71 &amp; "円"</f>
        <v>円</v>
      </c>
      <c r="AH404" s="13"/>
    </row>
    <row r="405" spans="1:34" ht="14.25" customHeight="1">
      <c r="A405" s="18"/>
      <c r="B405" s="23" t="str">
        <f>IF(LEN(印刷シート!$B70)&gt;=7, Jan(印刷シート!$B70), "")</f>
        <v/>
      </c>
      <c r="C405" s="23"/>
      <c r="D405" s="23"/>
      <c r="E405" s="23"/>
      <c r="F405" s="23"/>
      <c r="G405" s="23"/>
      <c r="H405" s="23"/>
      <c r="I405" s="23"/>
      <c r="J405" s="23"/>
      <c r="K405" s="23"/>
      <c r="L405" s="24" t="str">
        <f>印刷シート!$K70</f>
        <v/>
      </c>
      <c r="M405" s="24"/>
      <c r="N405" s="24"/>
      <c r="Q405" s="13"/>
      <c r="R405" s="18"/>
      <c r="S405" s="23" t="str">
        <f>IF(LEN(印刷シート!$B71)&gt;=7, Jan(印刷シート!$B71), "")</f>
        <v/>
      </c>
      <c r="T405" s="23"/>
      <c r="U405" s="23"/>
      <c r="V405" s="23"/>
      <c r="W405" s="23"/>
      <c r="X405" s="23"/>
      <c r="Y405" s="23"/>
      <c r="Z405" s="23"/>
      <c r="AA405" s="23"/>
      <c r="AB405" s="23"/>
      <c r="AC405" s="24" t="str">
        <f>印刷シート!$K71</f>
        <v/>
      </c>
      <c r="AD405" s="24"/>
      <c r="AE405" s="24"/>
      <c r="AH405" s="13"/>
    </row>
    <row r="406" spans="1:34" ht="14.25" customHeight="1">
      <c r="A406" s="18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4"/>
      <c r="M406" s="24"/>
      <c r="N406" s="24"/>
      <c r="Q406" s="13"/>
      <c r="R406" s="18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4"/>
      <c r="AD406" s="24"/>
      <c r="AE406" s="24"/>
      <c r="AH406" s="13"/>
    </row>
    <row r="407" spans="1:34" ht="14.25" customHeight="1">
      <c r="A407" s="18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4"/>
      <c r="M407" s="24"/>
      <c r="N407" s="24"/>
      <c r="O407" s="12" t="str">
        <f>"円＋税"</f>
        <v>円＋税</v>
      </c>
      <c r="Q407" s="13"/>
      <c r="R407" s="18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4"/>
      <c r="AD407" s="24"/>
      <c r="AE407" s="24"/>
      <c r="AF407" s="12" t="str">
        <f>"円＋税"</f>
        <v>円＋税</v>
      </c>
      <c r="AH407" s="13"/>
    </row>
    <row r="408" spans="1:34" ht="14.25" customHeight="1">
      <c r="A408" s="14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6"/>
      <c r="R408" s="14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6"/>
    </row>
    <row r="409" spans="1:34" ht="14.25" customHeight="1">
      <c r="A409" s="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0"/>
      <c r="R409" s="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/>
      <c r="AD409" s="19"/>
      <c r="AE409" s="19"/>
      <c r="AF409" s="19"/>
      <c r="AG409" s="19"/>
      <c r="AH409" s="10"/>
    </row>
    <row r="410" spans="1:34" ht="14.25" customHeight="1">
      <c r="A410" s="11"/>
      <c r="B410" s="22" t="str">
        <f>印刷シート!$O72</f>
        <v/>
      </c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13"/>
      <c r="R410" s="11"/>
      <c r="S410" s="22" t="str">
        <f>印刷シート!$O73</f>
        <v/>
      </c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13"/>
    </row>
    <row r="411" spans="1:34" ht="14.25" customHeight="1">
      <c r="A411" s="11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13"/>
      <c r="R411" s="11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13"/>
    </row>
    <row r="412" spans="1:34" ht="14.25" customHeight="1">
      <c r="A412" s="11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13"/>
      <c r="R412" s="11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13"/>
    </row>
    <row r="413" spans="1:34" ht="14.25" customHeight="1">
      <c r="A413" s="11"/>
      <c r="B413" s="12" t="str">
        <f>印刷シート!$D72</f>
        <v/>
      </c>
      <c r="Q413" s="13"/>
      <c r="R413" s="11"/>
      <c r="S413" s="12" t="str">
        <f>印刷シート!$D73</f>
        <v/>
      </c>
      <c r="AH413" s="13"/>
    </row>
    <row r="414" spans="1:34" ht="14.25" customHeight="1">
      <c r="A414" s="11"/>
      <c r="B414" s="12" t="str">
        <f>印刷シート!$C72</f>
        <v/>
      </c>
      <c r="Q414" s="13"/>
      <c r="R414" s="11"/>
      <c r="S414" s="12" t="str">
        <f>印刷シート!$C73</f>
        <v/>
      </c>
      <c r="AH414" s="13"/>
    </row>
    <row r="415" spans="1:34" ht="14.25" customHeight="1">
      <c r="A415" s="11"/>
      <c r="B415" s="12" t="str">
        <f>"規格"</f>
        <v>規格</v>
      </c>
      <c r="H415" s="12" t="str">
        <f>印刷シート!$G72 &amp; 印刷シート!$H72</f>
        <v/>
      </c>
      <c r="Q415" s="13"/>
      <c r="R415" s="11"/>
      <c r="S415" s="12" t="str">
        <f>"規格"</f>
        <v>規格</v>
      </c>
      <c r="Y415" s="12" t="str">
        <f>印刷シート!$G73 &amp; 印刷シート!$H73</f>
        <v/>
      </c>
      <c r="AH415" s="13"/>
    </row>
    <row r="416" spans="1:34" ht="14.25" customHeight="1">
      <c r="A416" s="11"/>
      <c r="B416" s="12" t="str">
        <f>"参考価格"</f>
        <v>参考価格</v>
      </c>
      <c r="H416" s="12" t="str">
        <f>印刷シート!$I72 &amp; "円"</f>
        <v>円</v>
      </c>
      <c r="Q416" s="13"/>
      <c r="R416" s="11"/>
      <c r="S416" s="12" t="str">
        <f>"参考価格"</f>
        <v>参考価格</v>
      </c>
      <c r="Y416" s="12" t="str">
        <f>印刷シート!$I73 &amp; "円"</f>
        <v>円</v>
      </c>
      <c r="AH416" s="13"/>
    </row>
    <row r="417" spans="1:34" ht="14.25" customHeight="1">
      <c r="A417" s="18"/>
      <c r="B417" s="23" t="str">
        <f>IF(LEN(印刷シート!$B72)&gt;=7, Jan(印刷シート!$B72), "")</f>
        <v/>
      </c>
      <c r="C417" s="23"/>
      <c r="D417" s="23"/>
      <c r="E417" s="23"/>
      <c r="F417" s="23"/>
      <c r="G417" s="23"/>
      <c r="H417" s="23"/>
      <c r="I417" s="23"/>
      <c r="J417" s="23"/>
      <c r="K417" s="23"/>
      <c r="L417" s="24" t="str">
        <f>印刷シート!$K72</f>
        <v/>
      </c>
      <c r="M417" s="24"/>
      <c r="N417" s="24"/>
      <c r="Q417" s="13"/>
      <c r="R417" s="18"/>
      <c r="S417" s="23" t="str">
        <f>IF(LEN(印刷シート!$B73)&gt;=7, Jan(印刷シート!$B73), "")</f>
        <v/>
      </c>
      <c r="T417" s="23"/>
      <c r="U417" s="23"/>
      <c r="V417" s="23"/>
      <c r="W417" s="23"/>
      <c r="X417" s="23"/>
      <c r="Y417" s="23"/>
      <c r="Z417" s="23"/>
      <c r="AA417" s="23"/>
      <c r="AB417" s="23"/>
      <c r="AC417" s="24" t="str">
        <f>印刷シート!$K73</f>
        <v/>
      </c>
      <c r="AD417" s="24"/>
      <c r="AE417" s="24"/>
      <c r="AH417" s="13"/>
    </row>
    <row r="418" spans="1:34" ht="14.25" customHeight="1">
      <c r="A418" s="18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4"/>
      <c r="M418" s="24"/>
      <c r="N418" s="24"/>
      <c r="Q418" s="13"/>
      <c r="R418" s="18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4"/>
      <c r="AD418" s="24"/>
      <c r="AE418" s="24"/>
      <c r="AH418" s="13"/>
    </row>
    <row r="419" spans="1:34" ht="14.25" customHeight="1">
      <c r="A419" s="18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4"/>
      <c r="M419" s="24"/>
      <c r="N419" s="24"/>
      <c r="O419" s="12" t="str">
        <f>"円＋税"</f>
        <v>円＋税</v>
      </c>
      <c r="Q419" s="13"/>
      <c r="R419" s="18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4"/>
      <c r="AD419" s="24"/>
      <c r="AE419" s="24"/>
      <c r="AF419" s="12" t="str">
        <f>"円＋税"</f>
        <v>円＋税</v>
      </c>
      <c r="AH419" s="13"/>
    </row>
    <row r="420" spans="1:34" ht="14.25" customHeight="1">
      <c r="A420" s="14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6"/>
      <c r="R420" s="14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6"/>
    </row>
    <row r="421" spans="1:34" ht="14.25" customHeight="1">
      <c r="A421" s="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0"/>
      <c r="R421" s="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/>
      <c r="AD421" s="19"/>
      <c r="AE421" s="19"/>
      <c r="AF421" s="19"/>
      <c r="AG421" s="19"/>
      <c r="AH421" s="10"/>
    </row>
    <row r="422" spans="1:34" ht="14.25" customHeight="1">
      <c r="A422" s="11"/>
      <c r="B422" s="22" t="str">
        <f>印刷シート!$O74</f>
        <v/>
      </c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13"/>
      <c r="R422" s="11"/>
      <c r="S422" s="22" t="str">
        <f>印刷シート!$O75</f>
        <v/>
      </c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13"/>
    </row>
    <row r="423" spans="1:34" ht="14.25" customHeight="1">
      <c r="A423" s="11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13"/>
      <c r="R423" s="11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13"/>
    </row>
    <row r="424" spans="1:34" ht="14.25" customHeight="1">
      <c r="A424" s="11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13"/>
      <c r="R424" s="11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13"/>
    </row>
    <row r="425" spans="1:34" ht="14.25" customHeight="1">
      <c r="A425" s="11"/>
      <c r="B425" s="12" t="str">
        <f>印刷シート!$D74</f>
        <v/>
      </c>
      <c r="Q425" s="13"/>
      <c r="R425" s="11"/>
      <c r="S425" s="12" t="str">
        <f>印刷シート!$D75</f>
        <v/>
      </c>
      <c r="AH425" s="13"/>
    </row>
    <row r="426" spans="1:34" ht="14.25" customHeight="1">
      <c r="A426" s="11"/>
      <c r="B426" s="12" t="str">
        <f>印刷シート!$C74</f>
        <v/>
      </c>
      <c r="Q426" s="13"/>
      <c r="R426" s="11"/>
      <c r="S426" s="12" t="str">
        <f>印刷シート!$C75</f>
        <v/>
      </c>
      <c r="AH426" s="13"/>
    </row>
    <row r="427" spans="1:34" ht="14.25" customHeight="1">
      <c r="A427" s="11"/>
      <c r="B427" s="12" t="str">
        <f>"規格"</f>
        <v>規格</v>
      </c>
      <c r="H427" s="12" t="str">
        <f>印刷シート!$G74 &amp; 印刷シート!$H74</f>
        <v/>
      </c>
      <c r="Q427" s="13"/>
      <c r="R427" s="11"/>
      <c r="S427" s="12" t="str">
        <f>"規格"</f>
        <v>規格</v>
      </c>
      <c r="Y427" s="12" t="str">
        <f>印刷シート!$G75 &amp; 印刷シート!$H75</f>
        <v/>
      </c>
      <c r="AH427" s="13"/>
    </row>
    <row r="428" spans="1:34" ht="14.25" customHeight="1">
      <c r="A428" s="11"/>
      <c r="B428" s="12" t="str">
        <f>"参考価格"</f>
        <v>参考価格</v>
      </c>
      <c r="H428" s="12" t="str">
        <f>印刷シート!$I74 &amp; "円"</f>
        <v>円</v>
      </c>
      <c r="Q428" s="13"/>
      <c r="R428" s="11"/>
      <c r="S428" s="12" t="str">
        <f>"参考価格"</f>
        <v>参考価格</v>
      </c>
      <c r="Y428" s="12" t="str">
        <f>印刷シート!$I75 &amp; "円"</f>
        <v>円</v>
      </c>
      <c r="AH428" s="13"/>
    </row>
    <row r="429" spans="1:34" ht="14.25" customHeight="1">
      <c r="A429" s="18"/>
      <c r="B429" s="23" t="str">
        <f>IF(LEN(印刷シート!$B74)&gt;=7, Jan(印刷シート!$B74), "")</f>
        <v/>
      </c>
      <c r="C429" s="23"/>
      <c r="D429" s="23"/>
      <c r="E429" s="23"/>
      <c r="F429" s="23"/>
      <c r="G429" s="23"/>
      <c r="H429" s="23"/>
      <c r="I429" s="23"/>
      <c r="J429" s="23"/>
      <c r="K429" s="23"/>
      <c r="L429" s="24" t="str">
        <f>印刷シート!$K74</f>
        <v/>
      </c>
      <c r="M429" s="24"/>
      <c r="N429" s="24"/>
      <c r="Q429" s="13"/>
      <c r="R429" s="18"/>
      <c r="S429" s="23" t="str">
        <f>IF(LEN(印刷シート!$B75)&gt;=7, Jan(印刷シート!$B75), "")</f>
        <v/>
      </c>
      <c r="T429" s="23"/>
      <c r="U429" s="23"/>
      <c r="V429" s="23"/>
      <c r="W429" s="23"/>
      <c r="X429" s="23"/>
      <c r="Y429" s="23"/>
      <c r="Z429" s="23"/>
      <c r="AA429" s="23"/>
      <c r="AB429" s="23"/>
      <c r="AC429" s="24" t="str">
        <f>印刷シート!$K75</f>
        <v/>
      </c>
      <c r="AD429" s="24"/>
      <c r="AE429" s="24"/>
      <c r="AH429" s="13"/>
    </row>
    <row r="430" spans="1:34" ht="14.25" customHeight="1">
      <c r="A430" s="18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4"/>
      <c r="M430" s="24"/>
      <c r="N430" s="24"/>
      <c r="Q430" s="13"/>
      <c r="R430" s="18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4"/>
      <c r="AD430" s="24"/>
      <c r="AE430" s="24"/>
      <c r="AH430" s="13"/>
    </row>
    <row r="431" spans="1:34" ht="14.25" customHeight="1">
      <c r="A431" s="18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4"/>
      <c r="M431" s="24"/>
      <c r="N431" s="24"/>
      <c r="O431" s="12" t="str">
        <f>"円＋税"</f>
        <v>円＋税</v>
      </c>
      <c r="Q431" s="13"/>
      <c r="R431" s="18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4"/>
      <c r="AD431" s="24"/>
      <c r="AE431" s="24"/>
      <c r="AF431" s="12" t="str">
        <f>"円＋税"</f>
        <v>円＋税</v>
      </c>
      <c r="AH431" s="13"/>
    </row>
    <row r="432" spans="1:34" ht="14.25" customHeight="1">
      <c r="A432" s="14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6"/>
      <c r="R432" s="14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  <c r="AG432" s="15"/>
      <c r="AH432" s="16"/>
    </row>
    <row r="433" spans="1:34" ht="14.25" customHeight="1">
      <c r="A433" s="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0"/>
      <c r="R433" s="9"/>
      <c r="S433" s="19"/>
      <c r="T433" s="19"/>
      <c r="U433" s="19"/>
      <c r="V433" s="19"/>
      <c r="W433" s="19"/>
      <c r="X433" s="19"/>
      <c r="Y433" s="19"/>
      <c r="Z433" s="19"/>
      <c r="AA433" s="19"/>
      <c r="AB433" s="19"/>
      <c r="AC433" s="19"/>
      <c r="AD433" s="19"/>
      <c r="AE433" s="19"/>
      <c r="AF433" s="19"/>
      <c r="AG433" s="19"/>
      <c r="AH433" s="10"/>
    </row>
    <row r="434" spans="1:34" ht="14.25" customHeight="1">
      <c r="A434" s="11"/>
      <c r="B434" s="22" t="str">
        <f>印刷シート!$O76</f>
        <v/>
      </c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13"/>
      <c r="R434" s="11"/>
      <c r="S434" s="22" t="str">
        <f>印刷シート!$O77</f>
        <v/>
      </c>
      <c r="T434" s="22"/>
      <c r="U434" s="22"/>
      <c r="V434" s="22"/>
      <c r="W434" s="22"/>
      <c r="X434" s="22"/>
      <c r="Y434" s="22"/>
      <c r="Z434" s="22"/>
      <c r="AA434" s="22"/>
      <c r="AB434" s="22"/>
      <c r="AC434" s="22"/>
      <c r="AD434" s="22"/>
      <c r="AE434" s="22"/>
      <c r="AF434" s="22"/>
      <c r="AG434" s="22"/>
      <c r="AH434" s="13"/>
    </row>
    <row r="435" spans="1:34" ht="14.25" customHeight="1">
      <c r="A435" s="11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13"/>
      <c r="R435" s="11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13"/>
    </row>
    <row r="436" spans="1:34" ht="14.25" customHeight="1">
      <c r="A436" s="11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13"/>
      <c r="R436" s="11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  <c r="AD436" s="22"/>
      <c r="AE436" s="22"/>
      <c r="AF436" s="22"/>
      <c r="AG436" s="22"/>
      <c r="AH436" s="13"/>
    </row>
    <row r="437" spans="1:34" ht="14.25" customHeight="1">
      <c r="A437" s="11"/>
      <c r="B437" s="12" t="str">
        <f>印刷シート!$D76</f>
        <v/>
      </c>
      <c r="Q437" s="13"/>
      <c r="R437" s="11"/>
      <c r="S437" s="12" t="str">
        <f>印刷シート!$D77</f>
        <v/>
      </c>
      <c r="AH437" s="13"/>
    </row>
    <row r="438" spans="1:34" ht="14.25" customHeight="1">
      <c r="A438" s="11"/>
      <c r="B438" s="12" t="str">
        <f>印刷シート!$C76</f>
        <v/>
      </c>
      <c r="Q438" s="13"/>
      <c r="R438" s="11"/>
      <c r="S438" s="12" t="str">
        <f>印刷シート!$C77</f>
        <v/>
      </c>
      <c r="AH438" s="13"/>
    </row>
    <row r="439" spans="1:34" ht="14.25" customHeight="1">
      <c r="A439" s="11"/>
      <c r="B439" s="12" t="str">
        <f>"規格"</f>
        <v>規格</v>
      </c>
      <c r="H439" s="12" t="str">
        <f>印刷シート!$G76 &amp; 印刷シート!$H76</f>
        <v/>
      </c>
      <c r="Q439" s="13"/>
      <c r="R439" s="11"/>
      <c r="S439" s="12" t="str">
        <f>"規格"</f>
        <v>規格</v>
      </c>
      <c r="Y439" s="12" t="str">
        <f>印刷シート!$G77 &amp; 印刷シート!$H77</f>
        <v/>
      </c>
      <c r="AH439" s="13"/>
    </row>
    <row r="440" spans="1:34" ht="14.25" customHeight="1">
      <c r="A440" s="11"/>
      <c r="B440" s="12" t="str">
        <f>"参考価格"</f>
        <v>参考価格</v>
      </c>
      <c r="H440" s="12" t="str">
        <f>印刷シート!$I76 &amp; "円"</f>
        <v>円</v>
      </c>
      <c r="Q440" s="13"/>
      <c r="R440" s="11"/>
      <c r="S440" s="12" t="str">
        <f>"参考価格"</f>
        <v>参考価格</v>
      </c>
      <c r="Y440" s="12" t="str">
        <f>印刷シート!$I77 &amp; "円"</f>
        <v>円</v>
      </c>
      <c r="AH440" s="13"/>
    </row>
    <row r="441" spans="1:34" ht="14.25" customHeight="1">
      <c r="A441" s="18"/>
      <c r="B441" s="23" t="str">
        <f>IF(LEN(印刷シート!$B76)&gt;=7, Jan(印刷シート!$B76), "")</f>
        <v/>
      </c>
      <c r="C441" s="23"/>
      <c r="D441" s="23"/>
      <c r="E441" s="23"/>
      <c r="F441" s="23"/>
      <c r="G441" s="23"/>
      <c r="H441" s="23"/>
      <c r="I441" s="23"/>
      <c r="J441" s="23"/>
      <c r="K441" s="23"/>
      <c r="L441" s="24" t="str">
        <f>印刷シート!$K76</f>
        <v/>
      </c>
      <c r="M441" s="24"/>
      <c r="N441" s="24"/>
      <c r="Q441" s="13"/>
      <c r="R441" s="18"/>
      <c r="S441" s="23" t="str">
        <f>IF(LEN(印刷シート!$B77)&gt;=7, Jan(印刷シート!$B77), "")</f>
        <v/>
      </c>
      <c r="T441" s="23"/>
      <c r="U441" s="23"/>
      <c r="V441" s="23"/>
      <c r="W441" s="23"/>
      <c r="X441" s="23"/>
      <c r="Y441" s="23"/>
      <c r="Z441" s="23"/>
      <c r="AA441" s="23"/>
      <c r="AB441" s="23"/>
      <c r="AC441" s="24" t="str">
        <f>印刷シート!$K77</f>
        <v/>
      </c>
      <c r="AD441" s="24"/>
      <c r="AE441" s="24"/>
      <c r="AH441" s="13"/>
    </row>
    <row r="442" spans="1:34" ht="14.25" customHeight="1">
      <c r="A442" s="18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4"/>
      <c r="M442" s="24"/>
      <c r="N442" s="24"/>
      <c r="Q442" s="13"/>
      <c r="R442" s="18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4"/>
      <c r="AD442" s="24"/>
      <c r="AE442" s="24"/>
      <c r="AH442" s="13"/>
    </row>
    <row r="443" spans="1:34" ht="14.25" customHeight="1">
      <c r="A443" s="18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4"/>
      <c r="M443" s="24"/>
      <c r="N443" s="24"/>
      <c r="O443" s="12" t="str">
        <f>"円＋税"</f>
        <v>円＋税</v>
      </c>
      <c r="Q443" s="13"/>
      <c r="R443" s="18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4"/>
      <c r="AD443" s="24"/>
      <c r="AE443" s="24"/>
      <c r="AF443" s="12" t="str">
        <f>"円＋税"</f>
        <v>円＋税</v>
      </c>
      <c r="AH443" s="13"/>
    </row>
    <row r="444" spans="1:34" ht="14.25" customHeight="1">
      <c r="A444" s="14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6"/>
      <c r="R444" s="14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  <c r="AG444" s="15"/>
      <c r="AH444" s="16"/>
    </row>
    <row r="445" spans="1:34" ht="14.25" customHeight="1">
      <c r="A445" s="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0"/>
      <c r="R445" s="9"/>
      <c r="S445" s="19"/>
      <c r="T445" s="19"/>
      <c r="U445" s="19"/>
      <c r="V445" s="19"/>
      <c r="W445" s="19"/>
      <c r="X445" s="19"/>
      <c r="Y445" s="19"/>
      <c r="Z445" s="19"/>
      <c r="AA445" s="19"/>
      <c r="AB445" s="19"/>
      <c r="AC445" s="19"/>
      <c r="AD445" s="19"/>
      <c r="AE445" s="19"/>
      <c r="AF445" s="19"/>
      <c r="AG445" s="19"/>
      <c r="AH445" s="10"/>
    </row>
    <row r="446" spans="1:34" ht="14.25" customHeight="1">
      <c r="A446" s="11"/>
      <c r="B446" s="22" t="str">
        <f>印刷シート!$O78</f>
        <v/>
      </c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13"/>
      <c r="R446" s="11"/>
      <c r="S446" s="22" t="str">
        <f>印刷シート!$O79</f>
        <v/>
      </c>
      <c r="T446" s="22"/>
      <c r="U446" s="22"/>
      <c r="V446" s="22"/>
      <c r="W446" s="22"/>
      <c r="X446" s="22"/>
      <c r="Y446" s="22"/>
      <c r="Z446" s="22"/>
      <c r="AA446" s="22"/>
      <c r="AB446" s="22"/>
      <c r="AC446" s="22"/>
      <c r="AD446" s="22"/>
      <c r="AE446" s="22"/>
      <c r="AF446" s="22"/>
      <c r="AG446" s="22"/>
      <c r="AH446" s="13"/>
    </row>
    <row r="447" spans="1:34" ht="14.25" customHeight="1">
      <c r="A447" s="11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13"/>
      <c r="R447" s="11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13"/>
    </row>
    <row r="448" spans="1:34" ht="14.25" customHeight="1">
      <c r="A448" s="11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13"/>
      <c r="R448" s="11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  <c r="AD448" s="22"/>
      <c r="AE448" s="22"/>
      <c r="AF448" s="22"/>
      <c r="AG448" s="22"/>
      <c r="AH448" s="13"/>
    </row>
    <row r="449" spans="1:34" ht="14.25" customHeight="1">
      <c r="A449" s="11"/>
      <c r="B449" s="12" t="str">
        <f>印刷シート!$D78</f>
        <v/>
      </c>
      <c r="Q449" s="13"/>
      <c r="R449" s="11"/>
      <c r="S449" s="12" t="str">
        <f>印刷シート!$D79</f>
        <v/>
      </c>
      <c r="AH449" s="13"/>
    </row>
    <row r="450" spans="1:34" ht="14.25" customHeight="1">
      <c r="A450" s="11"/>
      <c r="B450" s="12" t="str">
        <f>印刷シート!$C78</f>
        <v/>
      </c>
      <c r="Q450" s="13"/>
      <c r="R450" s="11"/>
      <c r="S450" s="12" t="str">
        <f>印刷シート!$C79</f>
        <v/>
      </c>
      <c r="AH450" s="13"/>
    </row>
    <row r="451" spans="1:34" ht="14.25" customHeight="1">
      <c r="A451" s="11"/>
      <c r="B451" s="12" t="str">
        <f>"規格"</f>
        <v>規格</v>
      </c>
      <c r="H451" s="12" t="str">
        <f>印刷シート!$G78 &amp; 印刷シート!$H78</f>
        <v/>
      </c>
      <c r="Q451" s="13"/>
      <c r="R451" s="11"/>
      <c r="S451" s="12" t="str">
        <f>"規格"</f>
        <v>規格</v>
      </c>
      <c r="Y451" s="12" t="str">
        <f>印刷シート!$G79 &amp; 印刷シート!$H79</f>
        <v/>
      </c>
      <c r="AH451" s="13"/>
    </row>
    <row r="452" spans="1:34" ht="14.25" customHeight="1">
      <c r="A452" s="11"/>
      <c r="B452" s="12" t="str">
        <f>"参考価格"</f>
        <v>参考価格</v>
      </c>
      <c r="H452" s="12" t="str">
        <f>印刷シート!$I78 &amp; "円"</f>
        <v>円</v>
      </c>
      <c r="Q452" s="13"/>
      <c r="R452" s="11"/>
      <c r="S452" s="12" t="str">
        <f>"参考価格"</f>
        <v>参考価格</v>
      </c>
      <c r="Y452" s="12" t="str">
        <f>印刷シート!$I79 &amp; "円"</f>
        <v>円</v>
      </c>
      <c r="AH452" s="13"/>
    </row>
    <row r="453" spans="1:34" ht="14.25" customHeight="1">
      <c r="A453" s="18"/>
      <c r="B453" s="23" t="str">
        <f>IF(LEN(印刷シート!$B78)&gt;=7, Jan(印刷シート!$B78), "")</f>
        <v/>
      </c>
      <c r="C453" s="23"/>
      <c r="D453" s="23"/>
      <c r="E453" s="23"/>
      <c r="F453" s="23"/>
      <c r="G453" s="23"/>
      <c r="H453" s="23"/>
      <c r="I453" s="23"/>
      <c r="J453" s="23"/>
      <c r="K453" s="23"/>
      <c r="L453" s="24" t="str">
        <f>印刷シート!$K78</f>
        <v/>
      </c>
      <c r="M453" s="24"/>
      <c r="N453" s="24"/>
      <c r="Q453" s="13"/>
      <c r="R453" s="18"/>
      <c r="S453" s="23" t="str">
        <f>IF(LEN(印刷シート!$B79)&gt;=7, Jan(印刷シート!$B79), "")</f>
        <v/>
      </c>
      <c r="T453" s="23"/>
      <c r="U453" s="23"/>
      <c r="V453" s="23"/>
      <c r="W453" s="23"/>
      <c r="X453" s="23"/>
      <c r="Y453" s="23"/>
      <c r="Z453" s="23"/>
      <c r="AA453" s="23"/>
      <c r="AB453" s="23"/>
      <c r="AC453" s="24" t="str">
        <f>印刷シート!$K79</f>
        <v/>
      </c>
      <c r="AD453" s="24"/>
      <c r="AE453" s="24"/>
      <c r="AH453" s="13"/>
    </row>
    <row r="454" spans="1:34" ht="14.25" customHeight="1">
      <c r="A454" s="18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4"/>
      <c r="M454" s="24"/>
      <c r="N454" s="24"/>
      <c r="Q454" s="13"/>
      <c r="R454" s="18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4"/>
      <c r="AD454" s="24"/>
      <c r="AE454" s="24"/>
      <c r="AH454" s="13"/>
    </row>
    <row r="455" spans="1:34" ht="14.25" customHeight="1">
      <c r="A455" s="18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4"/>
      <c r="M455" s="24"/>
      <c r="N455" s="24"/>
      <c r="O455" s="12" t="str">
        <f>"円＋税"</f>
        <v>円＋税</v>
      </c>
      <c r="Q455" s="13"/>
      <c r="R455" s="18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4"/>
      <c r="AD455" s="24"/>
      <c r="AE455" s="24"/>
      <c r="AF455" s="12" t="str">
        <f>"円＋税"</f>
        <v>円＋税</v>
      </c>
      <c r="AH455" s="13"/>
    </row>
    <row r="456" spans="1:34" ht="14.25" customHeight="1">
      <c r="A456" s="14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6"/>
      <c r="R456" s="14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  <c r="AG456" s="15"/>
      <c r="AH456" s="16"/>
    </row>
    <row r="457" spans="1:34" ht="14.25" customHeight="1">
      <c r="A457" s="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0"/>
      <c r="R457" s="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/>
      <c r="AD457" s="19"/>
      <c r="AE457" s="19"/>
      <c r="AF457" s="19"/>
      <c r="AG457" s="19"/>
      <c r="AH457" s="10"/>
    </row>
    <row r="458" spans="1:34" ht="14.25" customHeight="1">
      <c r="A458" s="11"/>
      <c r="B458" s="22" t="str">
        <f>印刷シート!$O80</f>
        <v/>
      </c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13"/>
      <c r="R458" s="11"/>
      <c r="S458" s="22" t="str">
        <f>印刷シート!$O81</f>
        <v/>
      </c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13"/>
    </row>
    <row r="459" spans="1:34" ht="14.25" customHeight="1">
      <c r="A459" s="11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13"/>
      <c r="R459" s="11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13"/>
    </row>
    <row r="460" spans="1:34" ht="14.25" customHeight="1">
      <c r="A460" s="11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13"/>
      <c r="R460" s="11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13"/>
    </row>
    <row r="461" spans="1:34" ht="14.25" customHeight="1">
      <c r="A461" s="11"/>
      <c r="B461" s="12" t="str">
        <f>印刷シート!$D80</f>
        <v/>
      </c>
      <c r="Q461" s="13"/>
      <c r="R461" s="11"/>
      <c r="S461" s="12" t="str">
        <f>印刷シート!$D81</f>
        <v/>
      </c>
      <c r="AH461" s="13"/>
    </row>
    <row r="462" spans="1:34" ht="14.25" customHeight="1">
      <c r="A462" s="11"/>
      <c r="B462" s="12" t="str">
        <f>印刷シート!$C80</f>
        <v/>
      </c>
      <c r="Q462" s="13"/>
      <c r="R462" s="11"/>
      <c r="S462" s="12" t="str">
        <f>印刷シート!$C81</f>
        <v/>
      </c>
      <c r="AH462" s="13"/>
    </row>
    <row r="463" spans="1:34" ht="14.25" customHeight="1">
      <c r="A463" s="11"/>
      <c r="B463" s="12" t="str">
        <f>"規格"</f>
        <v>規格</v>
      </c>
      <c r="H463" s="12" t="str">
        <f>印刷シート!$G80 &amp; 印刷シート!$H80</f>
        <v/>
      </c>
      <c r="Q463" s="13"/>
      <c r="R463" s="11"/>
      <c r="S463" s="12" t="str">
        <f>"規格"</f>
        <v>規格</v>
      </c>
      <c r="Y463" s="12" t="str">
        <f>印刷シート!$G81 &amp; 印刷シート!$H81</f>
        <v/>
      </c>
      <c r="AH463" s="13"/>
    </row>
    <row r="464" spans="1:34" ht="14.25" customHeight="1">
      <c r="A464" s="11"/>
      <c r="B464" s="12" t="str">
        <f>"参考価格"</f>
        <v>参考価格</v>
      </c>
      <c r="H464" s="12" t="str">
        <f>印刷シート!$I80 &amp; "円"</f>
        <v>円</v>
      </c>
      <c r="Q464" s="13"/>
      <c r="R464" s="11"/>
      <c r="S464" s="12" t="str">
        <f>"参考価格"</f>
        <v>参考価格</v>
      </c>
      <c r="Y464" s="12" t="str">
        <f>印刷シート!$I81 &amp; "円"</f>
        <v>円</v>
      </c>
      <c r="AH464" s="13"/>
    </row>
    <row r="465" spans="1:34" ht="14.25" customHeight="1">
      <c r="A465" s="18"/>
      <c r="B465" s="23" t="str">
        <f>IF(LEN(印刷シート!$B80)&gt;=7, Jan(印刷シート!$B80), "")</f>
        <v/>
      </c>
      <c r="C465" s="23"/>
      <c r="D465" s="23"/>
      <c r="E465" s="23"/>
      <c r="F465" s="23"/>
      <c r="G465" s="23"/>
      <c r="H465" s="23"/>
      <c r="I465" s="23"/>
      <c r="J465" s="23"/>
      <c r="K465" s="23"/>
      <c r="L465" s="24" t="str">
        <f>印刷シート!$K80</f>
        <v/>
      </c>
      <c r="M465" s="24"/>
      <c r="N465" s="24"/>
      <c r="Q465" s="13"/>
      <c r="R465" s="18"/>
      <c r="S465" s="23" t="str">
        <f>IF(LEN(印刷シート!$B81)&gt;=7, Jan(印刷シート!$B81), "")</f>
        <v/>
      </c>
      <c r="T465" s="23"/>
      <c r="U465" s="23"/>
      <c r="V465" s="23"/>
      <c r="W465" s="23"/>
      <c r="X465" s="23"/>
      <c r="Y465" s="23"/>
      <c r="Z465" s="23"/>
      <c r="AA465" s="23"/>
      <c r="AB465" s="23"/>
      <c r="AC465" s="24" t="str">
        <f>印刷シート!$K81</f>
        <v/>
      </c>
      <c r="AD465" s="24"/>
      <c r="AE465" s="24"/>
      <c r="AH465" s="13"/>
    </row>
    <row r="466" spans="1:34" ht="14.25" customHeight="1">
      <c r="A466" s="18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4"/>
      <c r="M466" s="24"/>
      <c r="N466" s="24"/>
      <c r="Q466" s="13"/>
      <c r="R466" s="18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4"/>
      <c r="AD466" s="24"/>
      <c r="AE466" s="24"/>
      <c r="AH466" s="13"/>
    </row>
    <row r="467" spans="1:34" ht="14.25" customHeight="1">
      <c r="A467" s="18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4"/>
      <c r="M467" s="24"/>
      <c r="N467" s="24"/>
      <c r="O467" s="12" t="str">
        <f>"円＋税"</f>
        <v>円＋税</v>
      </c>
      <c r="Q467" s="13"/>
      <c r="R467" s="18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4"/>
      <c r="AD467" s="24"/>
      <c r="AE467" s="24"/>
      <c r="AF467" s="12" t="str">
        <f>"円＋税"</f>
        <v>円＋税</v>
      </c>
      <c r="AH467" s="13"/>
    </row>
    <row r="468" spans="1:34" ht="14.25" customHeight="1">
      <c r="A468" s="14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6"/>
      <c r="R468" s="14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  <c r="AG468" s="15"/>
      <c r="AH468" s="16"/>
    </row>
    <row r="469" spans="1:34" ht="14.25" customHeight="1">
      <c r="A469" s="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0"/>
      <c r="R469" s="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/>
      <c r="AD469" s="19"/>
      <c r="AE469" s="19"/>
      <c r="AF469" s="19"/>
      <c r="AG469" s="19"/>
      <c r="AH469" s="10"/>
    </row>
    <row r="470" spans="1:34" ht="14.25" customHeight="1">
      <c r="A470" s="11"/>
      <c r="B470" s="22" t="str">
        <f>印刷シート!$O82</f>
        <v/>
      </c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13"/>
      <c r="R470" s="11"/>
      <c r="S470" s="22" t="str">
        <f>印刷シート!$O83</f>
        <v/>
      </c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13"/>
    </row>
    <row r="471" spans="1:34" ht="14.25" customHeight="1">
      <c r="A471" s="11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13"/>
      <c r="R471" s="11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13"/>
    </row>
    <row r="472" spans="1:34" ht="14.25" customHeight="1">
      <c r="A472" s="11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13"/>
      <c r="R472" s="11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13"/>
    </row>
    <row r="473" spans="1:34" ht="14.25" customHeight="1">
      <c r="A473" s="11"/>
      <c r="B473" s="12" t="str">
        <f>印刷シート!$D82</f>
        <v/>
      </c>
      <c r="Q473" s="13"/>
      <c r="R473" s="11"/>
      <c r="S473" s="12" t="str">
        <f>印刷シート!$D83</f>
        <v/>
      </c>
      <c r="AH473" s="13"/>
    </row>
    <row r="474" spans="1:34" ht="14.25" customHeight="1">
      <c r="A474" s="11"/>
      <c r="B474" s="12" t="str">
        <f>印刷シート!$C82</f>
        <v/>
      </c>
      <c r="Q474" s="13"/>
      <c r="R474" s="11"/>
      <c r="S474" s="12" t="str">
        <f>印刷シート!$C83</f>
        <v/>
      </c>
      <c r="AH474" s="13"/>
    </row>
    <row r="475" spans="1:34" ht="14.25" customHeight="1">
      <c r="A475" s="11"/>
      <c r="B475" s="12" t="str">
        <f>"規格"</f>
        <v>規格</v>
      </c>
      <c r="H475" s="12" t="str">
        <f>印刷シート!$G82 &amp; 印刷シート!$H82</f>
        <v/>
      </c>
      <c r="Q475" s="13"/>
      <c r="R475" s="11"/>
      <c r="S475" s="12" t="str">
        <f>"規格"</f>
        <v>規格</v>
      </c>
      <c r="Y475" s="12" t="str">
        <f>印刷シート!$G83 &amp; 印刷シート!$H83</f>
        <v/>
      </c>
      <c r="AH475" s="13"/>
    </row>
    <row r="476" spans="1:34" ht="14.25" customHeight="1">
      <c r="A476" s="11"/>
      <c r="B476" s="12" t="str">
        <f>"参考価格"</f>
        <v>参考価格</v>
      </c>
      <c r="H476" s="12" t="str">
        <f>印刷シート!$I82 &amp; "円"</f>
        <v>円</v>
      </c>
      <c r="Q476" s="13"/>
      <c r="R476" s="11"/>
      <c r="S476" s="12" t="str">
        <f>"参考価格"</f>
        <v>参考価格</v>
      </c>
      <c r="Y476" s="12" t="str">
        <f>印刷シート!$I83 &amp; "円"</f>
        <v>円</v>
      </c>
      <c r="AH476" s="13"/>
    </row>
    <row r="477" spans="1:34" ht="14.25" customHeight="1">
      <c r="A477" s="18"/>
      <c r="B477" s="23" t="str">
        <f>IF(LEN(印刷シート!$B82)&gt;=7, Jan(印刷シート!$B82), "")</f>
        <v/>
      </c>
      <c r="C477" s="23"/>
      <c r="D477" s="23"/>
      <c r="E477" s="23"/>
      <c r="F477" s="23"/>
      <c r="G477" s="23"/>
      <c r="H477" s="23"/>
      <c r="I477" s="23"/>
      <c r="J477" s="23"/>
      <c r="K477" s="23"/>
      <c r="L477" s="24" t="str">
        <f>印刷シート!$K82</f>
        <v/>
      </c>
      <c r="M477" s="24"/>
      <c r="N477" s="24"/>
      <c r="Q477" s="13"/>
      <c r="R477" s="18"/>
      <c r="S477" s="23" t="str">
        <f>IF(LEN(印刷シート!$B83)&gt;=7, Jan(印刷シート!$B83), "")</f>
        <v/>
      </c>
      <c r="T477" s="23"/>
      <c r="U477" s="23"/>
      <c r="V477" s="23"/>
      <c r="W477" s="23"/>
      <c r="X477" s="23"/>
      <c r="Y477" s="23"/>
      <c r="Z477" s="23"/>
      <c r="AA477" s="23"/>
      <c r="AB477" s="23"/>
      <c r="AC477" s="24" t="str">
        <f>印刷シート!$K83</f>
        <v/>
      </c>
      <c r="AD477" s="24"/>
      <c r="AE477" s="24"/>
      <c r="AH477" s="13"/>
    </row>
    <row r="478" spans="1:34" ht="14.25" customHeight="1">
      <c r="A478" s="18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4"/>
      <c r="M478" s="24"/>
      <c r="N478" s="24"/>
      <c r="Q478" s="13"/>
      <c r="R478" s="18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4"/>
      <c r="AD478" s="24"/>
      <c r="AE478" s="24"/>
      <c r="AH478" s="13"/>
    </row>
    <row r="479" spans="1:34" ht="14.25" customHeight="1">
      <c r="A479" s="18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4"/>
      <c r="M479" s="24"/>
      <c r="N479" s="24"/>
      <c r="O479" s="12" t="str">
        <f>"円＋税"</f>
        <v>円＋税</v>
      </c>
      <c r="Q479" s="13"/>
      <c r="R479" s="18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4"/>
      <c r="AD479" s="24"/>
      <c r="AE479" s="24"/>
      <c r="AF479" s="12" t="str">
        <f>"円＋税"</f>
        <v>円＋税</v>
      </c>
      <c r="AH479" s="13"/>
    </row>
    <row r="480" spans="1:34" ht="14.25" customHeight="1">
      <c r="A480" s="14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6"/>
      <c r="R480" s="14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  <c r="AG480" s="15"/>
      <c r="AH480" s="16"/>
    </row>
    <row r="481" spans="1:34" ht="14.25" customHeight="1">
      <c r="A481" s="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0"/>
      <c r="R481" s="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0"/>
    </row>
    <row r="482" spans="1:34" ht="14.25" customHeight="1">
      <c r="A482" s="11"/>
      <c r="B482" s="22" t="str">
        <f>印刷シート!$O84</f>
        <v/>
      </c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13"/>
      <c r="R482" s="11"/>
      <c r="S482" s="22" t="str">
        <f>印刷シート!$O85</f>
        <v/>
      </c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13"/>
    </row>
    <row r="483" spans="1:34" ht="14.25" customHeight="1">
      <c r="A483" s="11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13"/>
      <c r="R483" s="11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13"/>
    </row>
    <row r="484" spans="1:34" ht="14.25" customHeight="1">
      <c r="A484" s="11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13"/>
      <c r="R484" s="11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13"/>
    </row>
    <row r="485" spans="1:34" ht="14.25" customHeight="1">
      <c r="A485" s="11"/>
      <c r="B485" s="12" t="str">
        <f>印刷シート!$D84</f>
        <v/>
      </c>
      <c r="Q485" s="13"/>
      <c r="R485" s="11"/>
      <c r="S485" s="12" t="str">
        <f>印刷シート!$D85</f>
        <v/>
      </c>
      <c r="AH485" s="13"/>
    </row>
    <row r="486" spans="1:34" ht="14.25" customHeight="1">
      <c r="A486" s="11"/>
      <c r="B486" s="12" t="str">
        <f>印刷シート!$C84</f>
        <v/>
      </c>
      <c r="Q486" s="13"/>
      <c r="R486" s="11"/>
      <c r="S486" s="12" t="str">
        <f>印刷シート!$C85</f>
        <v/>
      </c>
      <c r="AH486" s="13"/>
    </row>
    <row r="487" spans="1:34" ht="14.25" customHeight="1">
      <c r="A487" s="11"/>
      <c r="B487" s="12" t="str">
        <f>"規格"</f>
        <v>規格</v>
      </c>
      <c r="H487" s="12" t="str">
        <f>印刷シート!$G84 &amp; 印刷シート!$H84</f>
        <v/>
      </c>
      <c r="Q487" s="13"/>
      <c r="R487" s="11"/>
      <c r="S487" s="12" t="str">
        <f>"規格"</f>
        <v>規格</v>
      </c>
      <c r="Y487" s="12" t="str">
        <f>印刷シート!$G85 &amp; 印刷シート!$H85</f>
        <v/>
      </c>
      <c r="AH487" s="13"/>
    </row>
    <row r="488" spans="1:34" ht="14.25" customHeight="1">
      <c r="A488" s="11"/>
      <c r="B488" s="12" t="str">
        <f>"参考価格"</f>
        <v>参考価格</v>
      </c>
      <c r="H488" s="12" t="str">
        <f>印刷シート!$I84 &amp; "円"</f>
        <v>円</v>
      </c>
      <c r="Q488" s="13"/>
      <c r="R488" s="11"/>
      <c r="S488" s="12" t="str">
        <f>"参考価格"</f>
        <v>参考価格</v>
      </c>
      <c r="Y488" s="12" t="str">
        <f>印刷シート!$I85 &amp; "円"</f>
        <v>円</v>
      </c>
      <c r="AH488" s="13"/>
    </row>
    <row r="489" spans="1:34" ht="14.25" customHeight="1">
      <c r="A489" s="18"/>
      <c r="B489" s="23" t="str">
        <f>IF(LEN(印刷シート!$B84)&gt;=7, Jan(印刷シート!$B84), "")</f>
        <v/>
      </c>
      <c r="C489" s="23"/>
      <c r="D489" s="23"/>
      <c r="E489" s="23"/>
      <c r="F489" s="23"/>
      <c r="G489" s="23"/>
      <c r="H489" s="23"/>
      <c r="I489" s="23"/>
      <c r="J489" s="23"/>
      <c r="K489" s="23"/>
      <c r="L489" s="24" t="str">
        <f>印刷シート!$K84</f>
        <v/>
      </c>
      <c r="M489" s="24"/>
      <c r="N489" s="24"/>
      <c r="Q489" s="13"/>
      <c r="R489" s="18"/>
      <c r="S489" s="23" t="str">
        <f>IF(LEN(印刷シート!$B85)&gt;=7, Jan(印刷シート!$B85), "")</f>
        <v/>
      </c>
      <c r="T489" s="23"/>
      <c r="U489" s="23"/>
      <c r="V489" s="23"/>
      <c r="W489" s="23"/>
      <c r="X489" s="23"/>
      <c r="Y489" s="23"/>
      <c r="Z489" s="23"/>
      <c r="AA489" s="23"/>
      <c r="AB489" s="23"/>
      <c r="AC489" s="24" t="str">
        <f>印刷シート!$K85</f>
        <v/>
      </c>
      <c r="AD489" s="24"/>
      <c r="AE489" s="24"/>
      <c r="AH489" s="13"/>
    </row>
    <row r="490" spans="1:34" ht="14.25" customHeight="1">
      <c r="A490" s="18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4"/>
      <c r="M490" s="24"/>
      <c r="N490" s="24"/>
      <c r="Q490" s="13"/>
      <c r="R490" s="18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4"/>
      <c r="AD490" s="24"/>
      <c r="AE490" s="24"/>
      <c r="AH490" s="13"/>
    </row>
    <row r="491" spans="1:34" ht="14.25" customHeight="1">
      <c r="A491" s="18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4"/>
      <c r="M491" s="24"/>
      <c r="N491" s="24"/>
      <c r="O491" s="12" t="str">
        <f>"円＋税"</f>
        <v>円＋税</v>
      </c>
      <c r="Q491" s="13"/>
      <c r="R491" s="18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4"/>
      <c r="AD491" s="24"/>
      <c r="AE491" s="24"/>
      <c r="AF491" s="12" t="str">
        <f>"円＋税"</f>
        <v>円＋税</v>
      </c>
      <c r="AH491" s="13"/>
    </row>
    <row r="492" spans="1:34" ht="14.25" customHeight="1">
      <c r="A492" s="14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6"/>
      <c r="R492" s="14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  <c r="AG492" s="15"/>
      <c r="AH492" s="16"/>
    </row>
    <row r="493" spans="1:34" ht="14.25" customHeight="1">
      <c r="A493" s="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0"/>
      <c r="R493" s="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0"/>
    </row>
    <row r="494" spans="1:34" ht="14.25" customHeight="1">
      <c r="A494" s="11"/>
      <c r="B494" s="22" t="str">
        <f>印刷シート!$O86</f>
        <v/>
      </c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13"/>
      <c r="R494" s="11"/>
      <c r="S494" s="22" t="str">
        <f>印刷シート!$O87</f>
        <v/>
      </c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13"/>
    </row>
    <row r="495" spans="1:34" ht="14.25" customHeight="1">
      <c r="A495" s="11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13"/>
      <c r="R495" s="11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13"/>
    </row>
    <row r="496" spans="1:34" ht="14.25" customHeight="1">
      <c r="A496" s="11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13"/>
      <c r="R496" s="11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13"/>
    </row>
    <row r="497" spans="1:34" ht="14.25" customHeight="1">
      <c r="A497" s="11"/>
      <c r="B497" s="12" t="str">
        <f>印刷シート!$D86</f>
        <v/>
      </c>
      <c r="Q497" s="13"/>
      <c r="R497" s="11"/>
      <c r="S497" s="12" t="str">
        <f>印刷シート!$D87</f>
        <v/>
      </c>
      <c r="AH497" s="13"/>
    </row>
    <row r="498" spans="1:34" ht="14.25" customHeight="1">
      <c r="A498" s="11"/>
      <c r="B498" s="12" t="str">
        <f>印刷シート!$C86</f>
        <v/>
      </c>
      <c r="Q498" s="13"/>
      <c r="R498" s="11"/>
      <c r="S498" s="12" t="str">
        <f>印刷シート!$C87</f>
        <v/>
      </c>
      <c r="AH498" s="13"/>
    </row>
    <row r="499" spans="1:34" ht="14.25" customHeight="1">
      <c r="A499" s="11"/>
      <c r="B499" s="12" t="str">
        <f>"規格"</f>
        <v>規格</v>
      </c>
      <c r="H499" s="12" t="str">
        <f>印刷シート!$G86 &amp; 印刷シート!$H86</f>
        <v/>
      </c>
      <c r="Q499" s="13"/>
      <c r="R499" s="11"/>
      <c r="S499" s="12" t="str">
        <f>"規格"</f>
        <v>規格</v>
      </c>
      <c r="Y499" s="12" t="str">
        <f>印刷シート!$G87 &amp; 印刷シート!$H87</f>
        <v/>
      </c>
      <c r="AH499" s="13"/>
    </row>
    <row r="500" spans="1:34" ht="14.25" customHeight="1">
      <c r="A500" s="11"/>
      <c r="B500" s="12" t="str">
        <f>"参考価格"</f>
        <v>参考価格</v>
      </c>
      <c r="H500" s="12" t="str">
        <f>印刷シート!$I86 &amp; "円"</f>
        <v>円</v>
      </c>
      <c r="Q500" s="13"/>
      <c r="R500" s="11"/>
      <c r="S500" s="12" t="str">
        <f>"参考価格"</f>
        <v>参考価格</v>
      </c>
      <c r="Y500" s="12" t="str">
        <f>印刷シート!$I87 &amp; "円"</f>
        <v>円</v>
      </c>
      <c r="AH500" s="13"/>
    </row>
    <row r="501" spans="1:34" ht="14.25" customHeight="1">
      <c r="A501" s="18"/>
      <c r="B501" s="23" t="str">
        <f>IF(LEN(印刷シート!$B86)&gt;=7, Jan(印刷シート!$B86), "")</f>
        <v/>
      </c>
      <c r="C501" s="23"/>
      <c r="D501" s="23"/>
      <c r="E501" s="23"/>
      <c r="F501" s="23"/>
      <c r="G501" s="23"/>
      <c r="H501" s="23"/>
      <c r="I501" s="23"/>
      <c r="J501" s="23"/>
      <c r="K501" s="23"/>
      <c r="L501" s="24" t="str">
        <f>印刷シート!$K86</f>
        <v/>
      </c>
      <c r="M501" s="24"/>
      <c r="N501" s="24"/>
      <c r="Q501" s="13"/>
      <c r="R501" s="18"/>
      <c r="S501" s="23" t="str">
        <f>IF(LEN(印刷シート!$B87)&gt;=7, Jan(印刷シート!$B87), "")</f>
        <v/>
      </c>
      <c r="T501" s="23"/>
      <c r="U501" s="23"/>
      <c r="V501" s="23"/>
      <c r="W501" s="23"/>
      <c r="X501" s="23"/>
      <c r="Y501" s="23"/>
      <c r="Z501" s="23"/>
      <c r="AA501" s="23"/>
      <c r="AB501" s="23"/>
      <c r="AC501" s="24" t="str">
        <f>印刷シート!$K87</f>
        <v/>
      </c>
      <c r="AD501" s="24"/>
      <c r="AE501" s="24"/>
      <c r="AH501" s="13"/>
    </row>
    <row r="502" spans="1:34" ht="14.25" customHeight="1">
      <c r="A502" s="18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4"/>
      <c r="M502" s="24"/>
      <c r="N502" s="24"/>
      <c r="Q502" s="13"/>
      <c r="R502" s="18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4"/>
      <c r="AD502" s="24"/>
      <c r="AE502" s="24"/>
      <c r="AH502" s="13"/>
    </row>
    <row r="503" spans="1:34" ht="14.25" customHeight="1">
      <c r="A503" s="18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4"/>
      <c r="M503" s="24"/>
      <c r="N503" s="24"/>
      <c r="O503" s="12" t="str">
        <f>"円＋税"</f>
        <v>円＋税</v>
      </c>
      <c r="Q503" s="13"/>
      <c r="R503" s="18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4"/>
      <c r="AD503" s="24"/>
      <c r="AE503" s="24"/>
      <c r="AF503" s="12" t="str">
        <f>"円＋税"</f>
        <v>円＋税</v>
      </c>
      <c r="AH503" s="13"/>
    </row>
    <row r="504" spans="1:34" ht="14.25" customHeight="1">
      <c r="A504" s="14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6"/>
      <c r="R504" s="14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  <c r="AG504" s="15"/>
      <c r="AH504" s="16"/>
    </row>
    <row r="505" spans="1:34" ht="14.25" customHeight="1">
      <c r="A505" s="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0"/>
      <c r="R505" s="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0"/>
    </row>
    <row r="506" spans="1:34" ht="14.25" customHeight="1">
      <c r="A506" s="11"/>
      <c r="B506" s="22" t="str">
        <f>印刷シート!$O88</f>
        <v/>
      </c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13"/>
      <c r="R506" s="11"/>
      <c r="S506" s="22" t="str">
        <f>印刷シート!$O89</f>
        <v/>
      </c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13"/>
    </row>
    <row r="507" spans="1:34" ht="14.25" customHeight="1">
      <c r="A507" s="11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13"/>
      <c r="R507" s="11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13"/>
    </row>
    <row r="508" spans="1:34" ht="14.25" customHeight="1">
      <c r="A508" s="11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13"/>
      <c r="R508" s="11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13"/>
    </row>
    <row r="509" spans="1:34" ht="14.25" customHeight="1">
      <c r="A509" s="11"/>
      <c r="B509" s="12" t="str">
        <f>印刷シート!$D88</f>
        <v/>
      </c>
      <c r="Q509" s="13"/>
      <c r="R509" s="11"/>
      <c r="S509" s="12" t="str">
        <f>印刷シート!$D89</f>
        <v/>
      </c>
      <c r="AH509" s="13"/>
    </row>
    <row r="510" spans="1:34" ht="14.25" customHeight="1">
      <c r="A510" s="11"/>
      <c r="B510" s="12" t="str">
        <f>印刷シート!$C88</f>
        <v/>
      </c>
      <c r="Q510" s="13"/>
      <c r="R510" s="11"/>
      <c r="S510" s="12" t="str">
        <f>印刷シート!$C89</f>
        <v/>
      </c>
      <c r="AH510" s="13"/>
    </row>
    <row r="511" spans="1:34" ht="14.25" customHeight="1">
      <c r="A511" s="11"/>
      <c r="B511" s="12" t="str">
        <f>"規格"</f>
        <v>規格</v>
      </c>
      <c r="H511" s="12" t="str">
        <f>印刷シート!$G88 &amp; 印刷シート!$H88</f>
        <v/>
      </c>
      <c r="Q511" s="13"/>
      <c r="R511" s="11"/>
      <c r="S511" s="12" t="str">
        <f>"規格"</f>
        <v>規格</v>
      </c>
      <c r="Y511" s="12" t="str">
        <f>印刷シート!$G89 &amp; 印刷シート!$H89</f>
        <v/>
      </c>
      <c r="AH511" s="13"/>
    </row>
    <row r="512" spans="1:34" ht="14.25" customHeight="1">
      <c r="A512" s="11"/>
      <c r="B512" s="12" t="str">
        <f>"参考価格"</f>
        <v>参考価格</v>
      </c>
      <c r="H512" s="12" t="str">
        <f>印刷シート!$I88 &amp; "円"</f>
        <v>円</v>
      </c>
      <c r="Q512" s="13"/>
      <c r="R512" s="11"/>
      <c r="S512" s="12" t="str">
        <f>"参考価格"</f>
        <v>参考価格</v>
      </c>
      <c r="Y512" s="12" t="str">
        <f>印刷シート!$I89 &amp; "円"</f>
        <v>円</v>
      </c>
      <c r="AH512" s="13"/>
    </row>
    <row r="513" spans="1:34" ht="14.25" customHeight="1">
      <c r="A513" s="18"/>
      <c r="B513" s="23" t="str">
        <f>IF(LEN(印刷シート!$B88)&gt;=7, Jan(印刷シート!$B88), "")</f>
        <v/>
      </c>
      <c r="C513" s="23"/>
      <c r="D513" s="23"/>
      <c r="E513" s="23"/>
      <c r="F513" s="23"/>
      <c r="G513" s="23"/>
      <c r="H513" s="23"/>
      <c r="I513" s="23"/>
      <c r="J513" s="23"/>
      <c r="K513" s="23"/>
      <c r="L513" s="24" t="str">
        <f>印刷シート!$K88</f>
        <v/>
      </c>
      <c r="M513" s="24"/>
      <c r="N513" s="24"/>
      <c r="Q513" s="13"/>
      <c r="R513" s="18"/>
      <c r="S513" s="23" t="str">
        <f>IF(LEN(印刷シート!$B89)&gt;=7, Jan(印刷シート!$B89), "")</f>
        <v/>
      </c>
      <c r="T513" s="23"/>
      <c r="U513" s="23"/>
      <c r="V513" s="23"/>
      <c r="W513" s="23"/>
      <c r="X513" s="23"/>
      <c r="Y513" s="23"/>
      <c r="Z513" s="23"/>
      <c r="AA513" s="23"/>
      <c r="AB513" s="23"/>
      <c r="AC513" s="24" t="str">
        <f>印刷シート!$K89</f>
        <v/>
      </c>
      <c r="AD513" s="24"/>
      <c r="AE513" s="24"/>
      <c r="AH513" s="13"/>
    </row>
    <row r="514" spans="1:34" ht="14.25" customHeight="1">
      <c r="A514" s="18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4"/>
      <c r="M514" s="24"/>
      <c r="N514" s="24"/>
      <c r="Q514" s="13"/>
      <c r="R514" s="18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4"/>
      <c r="AD514" s="24"/>
      <c r="AE514" s="24"/>
      <c r="AH514" s="13"/>
    </row>
    <row r="515" spans="1:34" ht="14.25" customHeight="1">
      <c r="A515" s="18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4"/>
      <c r="M515" s="24"/>
      <c r="N515" s="24"/>
      <c r="O515" s="12" t="str">
        <f>"円＋税"</f>
        <v>円＋税</v>
      </c>
      <c r="Q515" s="13"/>
      <c r="R515" s="18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4"/>
      <c r="AD515" s="24"/>
      <c r="AE515" s="24"/>
      <c r="AF515" s="12" t="str">
        <f>"円＋税"</f>
        <v>円＋税</v>
      </c>
      <c r="AH515" s="13"/>
    </row>
    <row r="516" spans="1:34" ht="14.25" customHeight="1">
      <c r="A516" s="14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6"/>
      <c r="R516" s="14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  <c r="AG516" s="15"/>
      <c r="AH516" s="16"/>
    </row>
    <row r="517" spans="1:34" ht="14.25" customHeight="1">
      <c r="A517" s="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0"/>
      <c r="R517" s="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/>
      <c r="AD517" s="19"/>
      <c r="AE517" s="19"/>
      <c r="AF517" s="19"/>
      <c r="AG517" s="19"/>
      <c r="AH517" s="10"/>
    </row>
    <row r="518" spans="1:34" ht="14.25" customHeight="1">
      <c r="A518" s="11"/>
      <c r="B518" s="22" t="str">
        <f>印刷シート!$O90</f>
        <v/>
      </c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13"/>
      <c r="R518" s="11"/>
      <c r="S518" s="22" t="str">
        <f>印刷シート!$O91</f>
        <v/>
      </c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13"/>
    </row>
    <row r="519" spans="1:34" ht="14.25" customHeight="1">
      <c r="A519" s="11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13"/>
      <c r="R519" s="11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13"/>
    </row>
    <row r="520" spans="1:34" ht="14.25" customHeight="1">
      <c r="A520" s="11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13"/>
      <c r="R520" s="11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13"/>
    </row>
    <row r="521" spans="1:34" ht="14.25" customHeight="1">
      <c r="A521" s="11"/>
      <c r="B521" s="12" t="str">
        <f>印刷シート!$D90</f>
        <v/>
      </c>
      <c r="Q521" s="13"/>
      <c r="R521" s="11"/>
      <c r="S521" s="12" t="str">
        <f>印刷シート!$D91</f>
        <v/>
      </c>
      <c r="AH521" s="13"/>
    </row>
    <row r="522" spans="1:34" ht="14.25" customHeight="1">
      <c r="A522" s="11"/>
      <c r="B522" s="12" t="str">
        <f>印刷シート!$C90</f>
        <v/>
      </c>
      <c r="Q522" s="13"/>
      <c r="R522" s="11"/>
      <c r="S522" s="12" t="str">
        <f>印刷シート!$C91</f>
        <v/>
      </c>
      <c r="AH522" s="13"/>
    </row>
    <row r="523" spans="1:34" ht="14.25" customHeight="1">
      <c r="A523" s="11"/>
      <c r="B523" s="12" t="str">
        <f>"規格"</f>
        <v>規格</v>
      </c>
      <c r="H523" s="12" t="str">
        <f>印刷シート!$G90 &amp; 印刷シート!$H90</f>
        <v/>
      </c>
      <c r="Q523" s="13"/>
      <c r="R523" s="11"/>
      <c r="S523" s="12" t="str">
        <f>"規格"</f>
        <v>規格</v>
      </c>
      <c r="Y523" s="12" t="str">
        <f>印刷シート!$G91 &amp; 印刷シート!$H91</f>
        <v/>
      </c>
      <c r="AH523" s="13"/>
    </row>
    <row r="524" spans="1:34" ht="14.25" customHeight="1">
      <c r="A524" s="11"/>
      <c r="B524" s="12" t="str">
        <f>"参考価格"</f>
        <v>参考価格</v>
      </c>
      <c r="H524" s="12" t="str">
        <f>印刷シート!$I90 &amp; "円"</f>
        <v>円</v>
      </c>
      <c r="Q524" s="13"/>
      <c r="R524" s="11"/>
      <c r="S524" s="12" t="str">
        <f>"参考価格"</f>
        <v>参考価格</v>
      </c>
      <c r="Y524" s="12" t="str">
        <f>印刷シート!$I91 &amp; "円"</f>
        <v>円</v>
      </c>
      <c r="AH524" s="13"/>
    </row>
    <row r="525" spans="1:34" ht="14.25" customHeight="1">
      <c r="A525" s="18"/>
      <c r="B525" s="23" t="str">
        <f>IF(LEN(印刷シート!$B90)&gt;=7, Jan(印刷シート!$B90), "")</f>
        <v/>
      </c>
      <c r="C525" s="23"/>
      <c r="D525" s="23"/>
      <c r="E525" s="23"/>
      <c r="F525" s="23"/>
      <c r="G525" s="23"/>
      <c r="H525" s="23"/>
      <c r="I525" s="23"/>
      <c r="J525" s="23"/>
      <c r="K525" s="23"/>
      <c r="L525" s="24" t="str">
        <f>印刷シート!$K90</f>
        <v/>
      </c>
      <c r="M525" s="24"/>
      <c r="N525" s="24"/>
      <c r="Q525" s="13"/>
      <c r="R525" s="18"/>
      <c r="S525" s="23" t="str">
        <f>IF(LEN(印刷シート!$B91)&gt;=7, Jan(印刷シート!$B91), "")</f>
        <v/>
      </c>
      <c r="T525" s="23"/>
      <c r="U525" s="23"/>
      <c r="V525" s="23"/>
      <c r="W525" s="23"/>
      <c r="X525" s="23"/>
      <c r="Y525" s="23"/>
      <c r="Z525" s="23"/>
      <c r="AA525" s="23"/>
      <c r="AB525" s="23"/>
      <c r="AC525" s="24" t="str">
        <f>印刷シート!$K91</f>
        <v/>
      </c>
      <c r="AD525" s="24"/>
      <c r="AE525" s="24"/>
      <c r="AH525" s="13"/>
    </row>
    <row r="526" spans="1:34" ht="14.25" customHeight="1">
      <c r="A526" s="18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4"/>
      <c r="M526" s="24"/>
      <c r="N526" s="24"/>
      <c r="Q526" s="13"/>
      <c r="R526" s="18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4"/>
      <c r="AD526" s="24"/>
      <c r="AE526" s="24"/>
      <c r="AH526" s="13"/>
    </row>
    <row r="527" spans="1:34" ht="14.25" customHeight="1">
      <c r="A527" s="18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4"/>
      <c r="M527" s="24"/>
      <c r="N527" s="24"/>
      <c r="O527" s="12" t="str">
        <f>"円＋税"</f>
        <v>円＋税</v>
      </c>
      <c r="Q527" s="13"/>
      <c r="R527" s="18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4"/>
      <c r="AD527" s="24"/>
      <c r="AE527" s="24"/>
      <c r="AF527" s="12" t="str">
        <f>"円＋税"</f>
        <v>円＋税</v>
      </c>
      <c r="AH527" s="13"/>
    </row>
    <row r="528" spans="1:34" ht="14.25" customHeight="1">
      <c r="A528" s="14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6"/>
      <c r="R528" s="14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  <c r="AG528" s="15"/>
      <c r="AH528" s="16"/>
    </row>
    <row r="529" spans="1:34" ht="14.25" customHeight="1">
      <c r="A529" s="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0"/>
      <c r="R529" s="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/>
      <c r="AD529" s="19"/>
      <c r="AE529" s="19"/>
      <c r="AF529" s="19"/>
      <c r="AG529" s="19"/>
      <c r="AH529" s="10"/>
    </row>
    <row r="530" spans="1:34" ht="14.25" customHeight="1">
      <c r="A530" s="11"/>
      <c r="B530" s="22" t="str">
        <f>印刷シート!$O92</f>
        <v/>
      </c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13"/>
      <c r="R530" s="11"/>
      <c r="S530" s="22" t="str">
        <f>印刷シート!$O93</f>
        <v/>
      </c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13"/>
    </row>
    <row r="531" spans="1:34" ht="14.25" customHeight="1">
      <c r="A531" s="11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13"/>
      <c r="R531" s="11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13"/>
    </row>
    <row r="532" spans="1:34" ht="14.25" customHeight="1">
      <c r="A532" s="11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13"/>
      <c r="R532" s="11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13"/>
    </row>
    <row r="533" spans="1:34" ht="14.25" customHeight="1">
      <c r="A533" s="11"/>
      <c r="B533" s="12" t="str">
        <f>印刷シート!$D92</f>
        <v/>
      </c>
      <c r="Q533" s="13"/>
      <c r="R533" s="11"/>
      <c r="S533" s="12" t="str">
        <f>印刷シート!$D93</f>
        <v/>
      </c>
      <c r="AH533" s="13"/>
    </row>
    <row r="534" spans="1:34" ht="14.25" customHeight="1">
      <c r="A534" s="11"/>
      <c r="B534" s="12" t="str">
        <f>印刷シート!$C92</f>
        <v/>
      </c>
      <c r="Q534" s="13"/>
      <c r="R534" s="11"/>
      <c r="S534" s="12" t="str">
        <f>印刷シート!$C93</f>
        <v/>
      </c>
      <c r="AH534" s="13"/>
    </row>
    <row r="535" spans="1:34" ht="14.25" customHeight="1">
      <c r="A535" s="11"/>
      <c r="B535" s="12" t="str">
        <f>"規格"</f>
        <v>規格</v>
      </c>
      <c r="H535" s="12" t="str">
        <f>印刷シート!$G92 &amp; 印刷シート!$H92</f>
        <v/>
      </c>
      <c r="Q535" s="13"/>
      <c r="R535" s="11"/>
      <c r="S535" s="12" t="str">
        <f>"規格"</f>
        <v>規格</v>
      </c>
      <c r="Y535" s="12" t="str">
        <f>印刷シート!$G93 &amp; 印刷シート!$H93</f>
        <v/>
      </c>
      <c r="AH535" s="13"/>
    </row>
    <row r="536" spans="1:34" ht="14.25" customHeight="1">
      <c r="A536" s="11"/>
      <c r="B536" s="12" t="str">
        <f>"参考価格"</f>
        <v>参考価格</v>
      </c>
      <c r="H536" s="12" t="str">
        <f>印刷シート!$I92 &amp; "円"</f>
        <v>円</v>
      </c>
      <c r="Q536" s="13"/>
      <c r="R536" s="11"/>
      <c r="S536" s="12" t="str">
        <f>"参考価格"</f>
        <v>参考価格</v>
      </c>
      <c r="Y536" s="12" t="str">
        <f>印刷シート!$I93 &amp; "円"</f>
        <v>円</v>
      </c>
      <c r="AH536" s="13"/>
    </row>
    <row r="537" spans="1:34" ht="14.25" customHeight="1">
      <c r="A537" s="18"/>
      <c r="B537" s="23" t="str">
        <f>IF(LEN(印刷シート!$B92)&gt;=7, Jan(印刷シート!$B92), "")</f>
        <v/>
      </c>
      <c r="C537" s="23"/>
      <c r="D537" s="23"/>
      <c r="E537" s="23"/>
      <c r="F537" s="23"/>
      <c r="G537" s="23"/>
      <c r="H537" s="23"/>
      <c r="I537" s="23"/>
      <c r="J537" s="23"/>
      <c r="K537" s="23"/>
      <c r="L537" s="24" t="str">
        <f>印刷シート!$K92</f>
        <v/>
      </c>
      <c r="M537" s="24"/>
      <c r="N537" s="24"/>
      <c r="Q537" s="13"/>
      <c r="R537" s="18"/>
      <c r="S537" s="23" t="str">
        <f>IF(LEN(印刷シート!$B93)&gt;=7, Jan(印刷シート!$B93), "")</f>
        <v/>
      </c>
      <c r="T537" s="23"/>
      <c r="U537" s="23"/>
      <c r="V537" s="23"/>
      <c r="W537" s="23"/>
      <c r="X537" s="23"/>
      <c r="Y537" s="23"/>
      <c r="Z537" s="23"/>
      <c r="AA537" s="23"/>
      <c r="AB537" s="23"/>
      <c r="AC537" s="24" t="str">
        <f>印刷シート!$K93</f>
        <v/>
      </c>
      <c r="AD537" s="24"/>
      <c r="AE537" s="24"/>
      <c r="AH537" s="13"/>
    </row>
    <row r="538" spans="1:34" ht="14.25" customHeight="1">
      <c r="A538" s="18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4"/>
      <c r="M538" s="24"/>
      <c r="N538" s="24"/>
      <c r="Q538" s="13"/>
      <c r="R538" s="18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4"/>
      <c r="AD538" s="24"/>
      <c r="AE538" s="24"/>
      <c r="AH538" s="13"/>
    </row>
    <row r="539" spans="1:34" ht="14.25" customHeight="1">
      <c r="A539" s="18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4"/>
      <c r="M539" s="24"/>
      <c r="N539" s="24"/>
      <c r="O539" s="12" t="str">
        <f>"円＋税"</f>
        <v>円＋税</v>
      </c>
      <c r="Q539" s="13"/>
      <c r="R539" s="18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4"/>
      <c r="AD539" s="24"/>
      <c r="AE539" s="24"/>
      <c r="AF539" s="12" t="str">
        <f>"円＋税"</f>
        <v>円＋税</v>
      </c>
      <c r="AH539" s="13"/>
    </row>
    <row r="540" spans="1:34" ht="14.25" customHeight="1">
      <c r="A540" s="14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6"/>
      <c r="R540" s="14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  <c r="AG540" s="15"/>
      <c r="AH540" s="16"/>
    </row>
    <row r="541" spans="1:34" ht="14.25" customHeight="1">
      <c r="A541" s="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0"/>
      <c r="R541" s="9"/>
      <c r="S541" s="19"/>
      <c r="T541" s="19"/>
      <c r="U541" s="19"/>
      <c r="V541" s="19"/>
      <c r="W541" s="19"/>
      <c r="X541" s="19"/>
      <c r="Y541" s="19"/>
      <c r="Z541" s="19"/>
      <c r="AA541" s="19"/>
      <c r="AB541" s="19"/>
      <c r="AC541" s="19"/>
      <c r="AD541" s="19"/>
      <c r="AE541" s="19"/>
      <c r="AF541" s="19"/>
      <c r="AG541" s="19"/>
      <c r="AH541" s="10"/>
    </row>
    <row r="542" spans="1:34" ht="14.25" customHeight="1">
      <c r="A542" s="11"/>
      <c r="B542" s="22" t="str">
        <f>印刷シート!$O94</f>
        <v/>
      </c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13"/>
      <c r="R542" s="11"/>
      <c r="S542" s="22" t="str">
        <f>印刷シート!$O95</f>
        <v/>
      </c>
      <c r="T542" s="22"/>
      <c r="U542" s="22"/>
      <c r="V542" s="22"/>
      <c r="W542" s="22"/>
      <c r="X542" s="22"/>
      <c r="Y542" s="22"/>
      <c r="Z542" s="22"/>
      <c r="AA542" s="22"/>
      <c r="AB542" s="22"/>
      <c r="AC542" s="22"/>
      <c r="AD542" s="22"/>
      <c r="AE542" s="22"/>
      <c r="AF542" s="22"/>
      <c r="AG542" s="22"/>
      <c r="AH542" s="13"/>
    </row>
    <row r="543" spans="1:34" ht="14.25" customHeight="1">
      <c r="A543" s="11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13"/>
      <c r="R543" s="11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  <c r="AD543" s="22"/>
      <c r="AE543" s="22"/>
      <c r="AF543" s="22"/>
      <c r="AG543" s="22"/>
      <c r="AH543" s="13"/>
    </row>
    <row r="544" spans="1:34" ht="14.25" customHeight="1">
      <c r="A544" s="11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13"/>
      <c r="R544" s="11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  <c r="AD544" s="22"/>
      <c r="AE544" s="22"/>
      <c r="AF544" s="22"/>
      <c r="AG544" s="22"/>
      <c r="AH544" s="13"/>
    </row>
    <row r="545" spans="1:34" ht="14.25" customHeight="1">
      <c r="A545" s="11"/>
      <c r="B545" s="12" t="str">
        <f>印刷シート!$D94</f>
        <v/>
      </c>
      <c r="Q545" s="13"/>
      <c r="R545" s="11"/>
      <c r="S545" s="12" t="str">
        <f>印刷シート!$D95</f>
        <v/>
      </c>
      <c r="AH545" s="13"/>
    </row>
    <row r="546" spans="1:34" ht="14.25" customHeight="1">
      <c r="A546" s="11"/>
      <c r="B546" s="12" t="str">
        <f>印刷シート!$C94</f>
        <v/>
      </c>
      <c r="Q546" s="13"/>
      <c r="R546" s="11"/>
      <c r="S546" s="12" t="str">
        <f>印刷シート!$C95</f>
        <v/>
      </c>
      <c r="AH546" s="13"/>
    </row>
    <row r="547" spans="1:34" ht="14.25" customHeight="1">
      <c r="A547" s="11"/>
      <c r="B547" s="12" t="str">
        <f>"規格"</f>
        <v>規格</v>
      </c>
      <c r="H547" s="12" t="str">
        <f>印刷シート!$G94 &amp; 印刷シート!$H94</f>
        <v/>
      </c>
      <c r="Q547" s="13"/>
      <c r="R547" s="11"/>
      <c r="S547" s="12" t="str">
        <f>"規格"</f>
        <v>規格</v>
      </c>
      <c r="Y547" s="12" t="str">
        <f>印刷シート!$G95 &amp; 印刷シート!$H95</f>
        <v/>
      </c>
      <c r="AH547" s="13"/>
    </row>
    <row r="548" spans="1:34" ht="14.25" customHeight="1">
      <c r="A548" s="11"/>
      <c r="B548" s="12" t="str">
        <f>"参考価格"</f>
        <v>参考価格</v>
      </c>
      <c r="H548" s="12" t="str">
        <f>印刷シート!$I94 &amp; "円"</f>
        <v>円</v>
      </c>
      <c r="Q548" s="13"/>
      <c r="R548" s="11"/>
      <c r="S548" s="12" t="str">
        <f>"参考価格"</f>
        <v>参考価格</v>
      </c>
      <c r="Y548" s="12" t="str">
        <f>印刷シート!$I95 &amp; "円"</f>
        <v>円</v>
      </c>
      <c r="AH548" s="13"/>
    </row>
    <row r="549" spans="1:34" ht="14.25" customHeight="1">
      <c r="A549" s="18"/>
      <c r="B549" s="23" t="str">
        <f>IF(LEN(印刷シート!$B94)&gt;=7, Jan(印刷シート!$B94), "")</f>
        <v/>
      </c>
      <c r="C549" s="23"/>
      <c r="D549" s="23"/>
      <c r="E549" s="23"/>
      <c r="F549" s="23"/>
      <c r="G549" s="23"/>
      <c r="H549" s="23"/>
      <c r="I549" s="23"/>
      <c r="J549" s="23"/>
      <c r="K549" s="23"/>
      <c r="L549" s="24" t="str">
        <f>印刷シート!$K94</f>
        <v/>
      </c>
      <c r="M549" s="24"/>
      <c r="N549" s="24"/>
      <c r="Q549" s="13"/>
      <c r="R549" s="18"/>
      <c r="S549" s="23" t="str">
        <f>IF(LEN(印刷シート!$B95)&gt;=7, Jan(印刷シート!$B95), "")</f>
        <v/>
      </c>
      <c r="T549" s="23"/>
      <c r="U549" s="23"/>
      <c r="V549" s="23"/>
      <c r="W549" s="23"/>
      <c r="X549" s="23"/>
      <c r="Y549" s="23"/>
      <c r="Z549" s="23"/>
      <c r="AA549" s="23"/>
      <c r="AB549" s="23"/>
      <c r="AC549" s="24" t="str">
        <f>印刷シート!$K95</f>
        <v/>
      </c>
      <c r="AD549" s="24"/>
      <c r="AE549" s="24"/>
      <c r="AH549" s="13"/>
    </row>
    <row r="550" spans="1:34" ht="14.25" customHeight="1">
      <c r="A550" s="18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4"/>
      <c r="M550" s="24"/>
      <c r="N550" s="24"/>
      <c r="Q550" s="13"/>
      <c r="R550" s="18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4"/>
      <c r="AD550" s="24"/>
      <c r="AE550" s="24"/>
      <c r="AH550" s="13"/>
    </row>
    <row r="551" spans="1:34" ht="14.25" customHeight="1">
      <c r="A551" s="18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4"/>
      <c r="M551" s="24"/>
      <c r="N551" s="24"/>
      <c r="O551" s="12" t="str">
        <f>"円＋税"</f>
        <v>円＋税</v>
      </c>
      <c r="Q551" s="13"/>
      <c r="R551" s="18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4"/>
      <c r="AD551" s="24"/>
      <c r="AE551" s="24"/>
      <c r="AF551" s="12" t="str">
        <f>"円＋税"</f>
        <v>円＋税</v>
      </c>
      <c r="AH551" s="13"/>
    </row>
    <row r="552" spans="1:34" ht="14.25" customHeight="1">
      <c r="A552" s="14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6"/>
      <c r="R552" s="14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  <c r="AG552" s="15"/>
      <c r="AH552" s="16"/>
    </row>
    <row r="553" spans="1:34" ht="14.25" customHeight="1">
      <c r="A553" s="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0"/>
      <c r="R553" s="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0"/>
    </row>
    <row r="554" spans="1:34" ht="14.25" customHeight="1">
      <c r="A554" s="11"/>
      <c r="B554" s="22" t="str">
        <f>印刷シート!$O96</f>
        <v/>
      </c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13"/>
      <c r="R554" s="11"/>
      <c r="S554" s="22" t="str">
        <f>印刷シート!$O97</f>
        <v/>
      </c>
      <c r="T554" s="22"/>
      <c r="U554" s="22"/>
      <c r="V554" s="22"/>
      <c r="W554" s="22"/>
      <c r="X554" s="22"/>
      <c r="Y554" s="22"/>
      <c r="Z554" s="22"/>
      <c r="AA554" s="22"/>
      <c r="AB554" s="22"/>
      <c r="AC554" s="22"/>
      <c r="AD554" s="22"/>
      <c r="AE554" s="22"/>
      <c r="AF554" s="22"/>
      <c r="AG554" s="22"/>
      <c r="AH554" s="13"/>
    </row>
    <row r="555" spans="1:34" ht="14.25" customHeight="1">
      <c r="A555" s="11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13"/>
      <c r="R555" s="11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  <c r="AD555" s="22"/>
      <c r="AE555" s="22"/>
      <c r="AF555" s="22"/>
      <c r="AG555" s="22"/>
      <c r="AH555" s="13"/>
    </row>
    <row r="556" spans="1:34" ht="14.25" customHeight="1">
      <c r="A556" s="11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13"/>
      <c r="R556" s="11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13"/>
    </row>
    <row r="557" spans="1:34" ht="14.25" customHeight="1">
      <c r="A557" s="11"/>
      <c r="B557" s="12" t="str">
        <f>印刷シート!$D96</f>
        <v/>
      </c>
      <c r="Q557" s="13"/>
      <c r="R557" s="11"/>
      <c r="S557" s="12" t="str">
        <f>印刷シート!$D97</f>
        <v/>
      </c>
      <c r="AH557" s="13"/>
    </row>
    <row r="558" spans="1:34" ht="14.25" customHeight="1">
      <c r="A558" s="11"/>
      <c r="B558" s="12" t="str">
        <f>印刷シート!$C96</f>
        <v/>
      </c>
      <c r="Q558" s="13"/>
      <c r="R558" s="11"/>
      <c r="S558" s="12" t="str">
        <f>印刷シート!$C97</f>
        <v/>
      </c>
      <c r="AH558" s="13"/>
    </row>
    <row r="559" spans="1:34" ht="14.25" customHeight="1">
      <c r="A559" s="11"/>
      <c r="B559" s="12" t="str">
        <f>"規格"</f>
        <v>規格</v>
      </c>
      <c r="H559" s="12" t="str">
        <f>印刷シート!$G96 &amp; 印刷シート!$H96</f>
        <v/>
      </c>
      <c r="Q559" s="13"/>
      <c r="R559" s="11"/>
      <c r="S559" s="12" t="str">
        <f>"規格"</f>
        <v>規格</v>
      </c>
      <c r="Y559" s="12" t="str">
        <f>印刷シート!$G97 &amp; 印刷シート!$H97</f>
        <v/>
      </c>
      <c r="AH559" s="13"/>
    </row>
    <row r="560" spans="1:34" ht="14.25" customHeight="1">
      <c r="A560" s="11"/>
      <c r="B560" s="12" t="str">
        <f>"参考価格"</f>
        <v>参考価格</v>
      </c>
      <c r="H560" s="12" t="str">
        <f>印刷シート!$I96 &amp; "円"</f>
        <v>円</v>
      </c>
      <c r="Q560" s="13"/>
      <c r="R560" s="11"/>
      <c r="S560" s="12" t="str">
        <f>"参考価格"</f>
        <v>参考価格</v>
      </c>
      <c r="Y560" s="12" t="str">
        <f>印刷シート!$I97 &amp; "円"</f>
        <v>円</v>
      </c>
      <c r="AH560" s="13"/>
    </row>
    <row r="561" spans="1:34" ht="14.25" customHeight="1">
      <c r="A561" s="18"/>
      <c r="B561" s="23" t="str">
        <f>IF(LEN(印刷シート!$B96)&gt;=7, Jan(印刷シート!$B96), "")</f>
        <v/>
      </c>
      <c r="C561" s="23"/>
      <c r="D561" s="23"/>
      <c r="E561" s="23"/>
      <c r="F561" s="23"/>
      <c r="G561" s="23"/>
      <c r="H561" s="23"/>
      <c r="I561" s="23"/>
      <c r="J561" s="23"/>
      <c r="K561" s="23"/>
      <c r="L561" s="24" t="str">
        <f>印刷シート!$K96</f>
        <v/>
      </c>
      <c r="M561" s="24"/>
      <c r="N561" s="24"/>
      <c r="Q561" s="13"/>
      <c r="R561" s="18"/>
      <c r="S561" s="23" t="str">
        <f>IF(LEN(印刷シート!$B97)&gt;=7, Jan(印刷シート!$B97), "")</f>
        <v/>
      </c>
      <c r="T561" s="23"/>
      <c r="U561" s="23"/>
      <c r="V561" s="23"/>
      <c r="W561" s="23"/>
      <c r="X561" s="23"/>
      <c r="Y561" s="23"/>
      <c r="Z561" s="23"/>
      <c r="AA561" s="23"/>
      <c r="AB561" s="23"/>
      <c r="AC561" s="24" t="str">
        <f>印刷シート!$K97</f>
        <v/>
      </c>
      <c r="AD561" s="24"/>
      <c r="AE561" s="24"/>
      <c r="AH561" s="13"/>
    </row>
    <row r="562" spans="1:34" ht="14.25" customHeight="1">
      <c r="A562" s="18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4"/>
      <c r="M562" s="24"/>
      <c r="N562" s="24"/>
      <c r="Q562" s="13"/>
      <c r="R562" s="18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4"/>
      <c r="AD562" s="24"/>
      <c r="AE562" s="24"/>
      <c r="AH562" s="13"/>
    </row>
    <row r="563" spans="1:34" ht="14.25" customHeight="1">
      <c r="A563" s="18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4"/>
      <c r="M563" s="24"/>
      <c r="N563" s="24"/>
      <c r="O563" s="12" t="str">
        <f>"円＋税"</f>
        <v>円＋税</v>
      </c>
      <c r="Q563" s="13"/>
      <c r="R563" s="18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4"/>
      <c r="AD563" s="24"/>
      <c r="AE563" s="24"/>
      <c r="AF563" s="12" t="str">
        <f>"円＋税"</f>
        <v>円＋税</v>
      </c>
      <c r="AH563" s="13"/>
    </row>
    <row r="564" spans="1:34" ht="14.25" customHeight="1">
      <c r="A564" s="14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6"/>
      <c r="R564" s="14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  <c r="AG564" s="15"/>
      <c r="AH564" s="16"/>
    </row>
    <row r="565" spans="1:34" ht="14.25" customHeight="1">
      <c r="A565" s="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0"/>
      <c r="R565" s="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0"/>
    </row>
    <row r="566" spans="1:34" ht="14.25" customHeight="1">
      <c r="A566" s="11"/>
      <c r="B566" s="22" t="str">
        <f>印刷シート!$O98</f>
        <v/>
      </c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13"/>
      <c r="R566" s="11"/>
      <c r="S566" s="22" t="str">
        <f>印刷シート!$O99</f>
        <v/>
      </c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13"/>
    </row>
    <row r="567" spans="1:34" ht="14.25" customHeight="1">
      <c r="A567" s="11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13"/>
      <c r="R567" s="11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13"/>
    </row>
    <row r="568" spans="1:34" ht="14.25" customHeight="1">
      <c r="A568" s="11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13"/>
      <c r="R568" s="11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13"/>
    </row>
    <row r="569" spans="1:34" ht="14.25" customHeight="1">
      <c r="A569" s="11"/>
      <c r="B569" s="12" t="str">
        <f>印刷シート!$D98</f>
        <v/>
      </c>
      <c r="Q569" s="13"/>
      <c r="R569" s="11"/>
      <c r="S569" s="12" t="str">
        <f>印刷シート!$D99</f>
        <v/>
      </c>
      <c r="AH569" s="13"/>
    </row>
    <row r="570" spans="1:34" ht="14.25" customHeight="1">
      <c r="A570" s="11"/>
      <c r="B570" s="12" t="str">
        <f>印刷シート!$C98</f>
        <v/>
      </c>
      <c r="Q570" s="13"/>
      <c r="R570" s="11"/>
      <c r="S570" s="12" t="str">
        <f>印刷シート!$C99</f>
        <v/>
      </c>
      <c r="AH570" s="13"/>
    </row>
    <row r="571" spans="1:34" ht="14.25" customHeight="1">
      <c r="A571" s="11"/>
      <c r="B571" s="12" t="str">
        <f>"規格"</f>
        <v>規格</v>
      </c>
      <c r="H571" s="12" t="str">
        <f>印刷シート!$G98 &amp; 印刷シート!$H98</f>
        <v/>
      </c>
      <c r="Q571" s="13"/>
      <c r="R571" s="11"/>
      <c r="S571" s="12" t="str">
        <f>"規格"</f>
        <v>規格</v>
      </c>
      <c r="Y571" s="12" t="str">
        <f>印刷シート!$G99 &amp; 印刷シート!$H99</f>
        <v/>
      </c>
      <c r="AH571" s="13"/>
    </row>
    <row r="572" spans="1:34" ht="14.25" customHeight="1">
      <c r="A572" s="11"/>
      <c r="B572" s="12" t="str">
        <f>"参考価格"</f>
        <v>参考価格</v>
      </c>
      <c r="H572" s="12" t="str">
        <f>印刷シート!$I98 &amp; "円"</f>
        <v>円</v>
      </c>
      <c r="Q572" s="13"/>
      <c r="R572" s="11"/>
      <c r="S572" s="12" t="str">
        <f>"参考価格"</f>
        <v>参考価格</v>
      </c>
      <c r="Y572" s="12" t="str">
        <f>印刷シート!$I99 &amp; "円"</f>
        <v>円</v>
      </c>
      <c r="AH572" s="13"/>
    </row>
    <row r="573" spans="1:34" ht="14.25" customHeight="1">
      <c r="A573" s="18"/>
      <c r="B573" s="23" t="str">
        <f>IF(LEN(印刷シート!$B98)&gt;=7, Jan(印刷シート!$B98), "")</f>
        <v/>
      </c>
      <c r="C573" s="23"/>
      <c r="D573" s="23"/>
      <c r="E573" s="23"/>
      <c r="F573" s="23"/>
      <c r="G573" s="23"/>
      <c r="H573" s="23"/>
      <c r="I573" s="23"/>
      <c r="J573" s="23"/>
      <c r="K573" s="23"/>
      <c r="L573" s="24" t="str">
        <f>印刷シート!$K98</f>
        <v/>
      </c>
      <c r="M573" s="24"/>
      <c r="N573" s="24"/>
      <c r="Q573" s="13"/>
      <c r="R573" s="18"/>
      <c r="S573" s="23" t="str">
        <f>IF(LEN(印刷シート!$B99)&gt;=7, Jan(印刷シート!$B99), "")</f>
        <v/>
      </c>
      <c r="T573" s="23"/>
      <c r="U573" s="23"/>
      <c r="V573" s="23"/>
      <c r="W573" s="23"/>
      <c r="X573" s="23"/>
      <c r="Y573" s="23"/>
      <c r="Z573" s="23"/>
      <c r="AA573" s="23"/>
      <c r="AB573" s="23"/>
      <c r="AC573" s="24" t="str">
        <f>印刷シート!$K99</f>
        <v/>
      </c>
      <c r="AD573" s="24"/>
      <c r="AE573" s="24"/>
      <c r="AH573" s="13"/>
    </row>
    <row r="574" spans="1:34" ht="14.25" customHeight="1">
      <c r="A574" s="18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4"/>
      <c r="M574" s="24"/>
      <c r="N574" s="24"/>
      <c r="Q574" s="13"/>
      <c r="R574" s="18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4"/>
      <c r="AD574" s="24"/>
      <c r="AE574" s="24"/>
      <c r="AH574" s="13"/>
    </row>
    <row r="575" spans="1:34" ht="14.25" customHeight="1">
      <c r="A575" s="18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4"/>
      <c r="M575" s="24"/>
      <c r="N575" s="24"/>
      <c r="O575" s="12" t="str">
        <f>"円＋税"</f>
        <v>円＋税</v>
      </c>
      <c r="Q575" s="13"/>
      <c r="R575" s="18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4"/>
      <c r="AD575" s="24"/>
      <c r="AE575" s="24"/>
      <c r="AF575" s="12" t="str">
        <f>"円＋税"</f>
        <v>円＋税</v>
      </c>
      <c r="AH575" s="13"/>
    </row>
    <row r="576" spans="1:34" ht="14.25" customHeight="1">
      <c r="A576" s="14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6"/>
      <c r="R576" s="14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  <c r="AG576" s="15"/>
      <c r="AH576" s="16"/>
    </row>
    <row r="577" spans="1:34" ht="14.25" customHeight="1">
      <c r="A577" s="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0"/>
      <c r="R577" s="9"/>
      <c r="S577" s="19"/>
      <c r="T577" s="19"/>
      <c r="U577" s="19"/>
      <c r="V577" s="19"/>
      <c r="W577" s="19"/>
      <c r="X577" s="19"/>
      <c r="Y577" s="19"/>
      <c r="Z577" s="19"/>
      <c r="AA577" s="19"/>
      <c r="AB577" s="19"/>
      <c r="AC577" s="19"/>
      <c r="AD577" s="19"/>
      <c r="AE577" s="19"/>
      <c r="AF577" s="19"/>
      <c r="AG577" s="19"/>
      <c r="AH577" s="10"/>
    </row>
    <row r="578" spans="1:34" ht="14.25" customHeight="1">
      <c r="A578" s="11"/>
      <c r="B578" s="22" t="str">
        <f>印刷シート!$O100</f>
        <v/>
      </c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13"/>
      <c r="R578" s="11"/>
      <c r="S578" s="22" t="str">
        <f>印刷シート!$O101</f>
        <v/>
      </c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13"/>
    </row>
    <row r="579" spans="1:34" ht="14.25" customHeight="1">
      <c r="A579" s="11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13"/>
      <c r="R579" s="11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13"/>
    </row>
    <row r="580" spans="1:34" ht="14.25" customHeight="1">
      <c r="A580" s="11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13"/>
      <c r="R580" s="11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13"/>
    </row>
    <row r="581" spans="1:34" ht="14.25" customHeight="1">
      <c r="A581" s="11"/>
      <c r="B581" s="12" t="str">
        <f>印刷シート!$D100</f>
        <v/>
      </c>
      <c r="Q581" s="13"/>
      <c r="R581" s="11"/>
      <c r="S581" s="12" t="str">
        <f>印刷シート!$D101</f>
        <v/>
      </c>
      <c r="AH581" s="13"/>
    </row>
    <row r="582" spans="1:34" ht="14.25" customHeight="1">
      <c r="A582" s="11"/>
      <c r="B582" s="12" t="str">
        <f>印刷シート!$C100</f>
        <v/>
      </c>
      <c r="Q582" s="13"/>
      <c r="R582" s="11"/>
      <c r="S582" s="12" t="str">
        <f>印刷シート!$C101</f>
        <v/>
      </c>
      <c r="AH582" s="13"/>
    </row>
    <row r="583" spans="1:34" ht="14.25" customHeight="1">
      <c r="A583" s="11"/>
      <c r="B583" s="12" t="str">
        <f>"規格"</f>
        <v>規格</v>
      </c>
      <c r="H583" s="12" t="str">
        <f>印刷シート!$G100 &amp; 印刷シート!$H100</f>
        <v/>
      </c>
      <c r="Q583" s="13"/>
      <c r="R583" s="11"/>
      <c r="S583" s="12" t="str">
        <f>"規格"</f>
        <v>規格</v>
      </c>
      <c r="Y583" s="12" t="str">
        <f>印刷シート!$G101 &amp; 印刷シート!$H101</f>
        <v/>
      </c>
      <c r="AH583" s="13"/>
    </row>
    <row r="584" spans="1:34" ht="14.25" customHeight="1">
      <c r="A584" s="11"/>
      <c r="B584" s="12" t="str">
        <f>"参考価格"</f>
        <v>参考価格</v>
      </c>
      <c r="H584" s="12" t="str">
        <f>印刷シート!$I100 &amp; "円"</f>
        <v>円</v>
      </c>
      <c r="Q584" s="13"/>
      <c r="R584" s="11"/>
      <c r="S584" s="12" t="str">
        <f>"参考価格"</f>
        <v>参考価格</v>
      </c>
      <c r="Y584" s="12" t="str">
        <f>印刷シート!$I101 &amp; "円"</f>
        <v>円</v>
      </c>
      <c r="AH584" s="13"/>
    </row>
    <row r="585" spans="1:34" ht="14.25" customHeight="1">
      <c r="A585" s="18"/>
      <c r="B585" s="23" t="str">
        <f>IF(LEN(印刷シート!$B100)&gt;=7, Jan(印刷シート!$B100), "")</f>
        <v/>
      </c>
      <c r="C585" s="23"/>
      <c r="D585" s="23"/>
      <c r="E585" s="23"/>
      <c r="F585" s="23"/>
      <c r="G585" s="23"/>
      <c r="H585" s="23"/>
      <c r="I585" s="23"/>
      <c r="J585" s="23"/>
      <c r="K585" s="23"/>
      <c r="L585" s="24" t="str">
        <f>印刷シート!$K100</f>
        <v/>
      </c>
      <c r="M585" s="24"/>
      <c r="N585" s="24"/>
      <c r="Q585" s="13"/>
      <c r="R585" s="18"/>
      <c r="S585" s="23" t="str">
        <f>IF(LEN(印刷シート!$B101)&gt;=7, Jan(印刷シート!$B101), "")</f>
        <v/>
      </c>
      <c r="T585" s="23"/>
      <c r="U585" s="23"/>
      <c r="V585" s="23"/>
      <c r="W585" s="23"/>
      <c r="X585" s="23"/>
      <c r="Y585" s="23"/>
      <c r="Z585" s="23"/>
      <c r="AA585" s="23"/>
      <c r="AB585" s="23"/>
      <c r="AC585" s="24" t="str">
        <f>印刷シート!$K101</f>
        <v/>
      </c>
      <c r="AD585" s="24"/>
      <c r="AE585" s="24"/>
      <c r="AH585" s="13"/>
    </row>
    <row r="586" spans="1:34" ht="14.25" customHeight="1">
      <c r="A586" s="18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4"/>
      <c r="M586" s="24"/>
      <c r="N586" s="24"/>
      <c r="Q586" s="13"/>
      <c r="R586" s="18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4"/>
      <c r="AD586" s="24"/>
      <c r="AE586" s="24"/>
      <c r="AH586" s="13"/>
    </row>
    <row r="587" spans="1:34" ht="14.25" customHeight="1">
      <c r="A587" s="18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4"/>
      <c r="M587" s="24"/>
      <c r="N587" s="24"/>
      <c r="O587" s="12" t="str">
        <f>"円＋税"</f>
        <v>円＋税</v>
      </c>
      <c r="Q587" s="13"/>
      <c r="R587" s="18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4"/>
      <c r="AD587" s="24"/>
      <c r="AE587" s="24"/>
      <c r="AF587" s="12" t="str">
        <f>"円＋税"</f>
        <v>円＋税</v>
      </c>
      <c r="AH587" s="13"/>
    </row>
    <row r="588" spans="1:34" ht="14.25" customHeight="1">
      <c r="A588" s="14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6"/>
      <c r="R588" s="14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  <c r="AG588" s="15"/>
      <c r="AH588" s="16"/>
    </row>
    <row r="589" spans="1:34" ht="14.25" customHeight="1">
      <c r="A589" s="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0"/>
      <c r="R589" s="9"/>
      <c r="S589" s="19"/>
      <c r="T589" s="19"/>
      <c r="U589" s="19"/>
      <c r="V589" s="19"/>
      <c r="W589" s="19"/>
      <c r="X589" s="19"/>
      <c r="Y589" s="19"/>
      <c r="Z589" s="19"/>
      <c r="AA589" s="19"/>
      <c r="AB589" s="19"/>
      <c r="AC589" s="19"/>
      <c r="AD589" s="19"/>
      <c r="AE589" s="19"/>
      <c r="AF589" s="19"/>
      <c r="AG589" s="19"/>
      <c r="AH589" s="10"/>
    </row>
    <row r="590" spans="1:34" ht="14.25" customHeight="1">
      <c r="A590" s="11"/>
      <c r="B590" s="22" t="str">
        <f>印刷シート!$O102</f>
        <v/>
      </c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13"/>
      <c r="R590" s="11"/>
      <c r="S590" s="22" t="str">
        <f>印刷シート!$O103</f>
        <v/>
      </c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13"/>
    </row>
    <row r="591" spans="1:34" ht="14.25" customHeight="1">
      <c r="A591" s="11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13"/>
      <c r="R591" s="11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13"/>
    </row>
    <row r="592" spans="1:34" ht="14.25" customHeight="1">
      <c r="A592" s="11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13"/>
      <c r="R592" s="11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13"/>
    </row>
    <row r="593" spans="1:34" ht="14.25" customHeight="1">
      <c r="A593" s="11"/>
      <c r="B593" s="12" t="str">
        <f>印刷シート!$D102</f>
        <v/>
      </c>
      <c r="Q593" s="13"/>
      <c r="R593" s="11"/>
      <c r="S593" s="12" t="str">
        <f>印刷シート!$D103</f>
        <v/>
      </c>
      <c r="AH593" s="13"/>
    </row>
    <row r="594" spans="1:34" ht="14.25" customHeight="1">
      <c r="A594" s="11"/>
      <c r="B594" s="12" t="str">
        <f>印刷シート!$C102</f>
        <v/>
      </c>
      <c r="Q594" s="13"/>
      <c r="R594" s="11"/>
      <c r="S594" s="12" t="str">
        <f>印刷シート!$C103</f>
        <v/>
      </c>
      <c r="AH594" s="13"/>
    </row>
    <row r="595" spans="1:34" ht="14.25" customHeight="1">
      <c r="A595" s="11"/>
      <c r="B595" s="12" t="str">
        <f>"規格"</f>
        <v>規格</v>
      </c>
      <c r="H595" s="12" t="str">
        <f>印刷シート!$G102 &amp; 印刷シート!$H102</f>
        <v/>
      </c>
      <c r="Q595" s="13"/>
      <c r="R595" s="11"/>
      <c r="S595" s="12" t="str">
        <f>"規格"</f>
        <v>規格</v>
      </c>
      <c r="Y595" s="12" t="str">
        <f>印刷シート!$G103 &amp; 印刷シート!$H103</f>
        <v/>
      </c>
      <c r="AH595" s="13"/>
    </row>
    <row r="596" spans="1:34" ht="14.25" customHeight="1">
      <c r="A596" s="11"/>
      <c r="B596" s="12" t="str">
        <f>"参考価格"</f>
        <v>参考価格</v>
      </c>
      <c r="H596" s="12" t="str">
        <f>印刷シート!$I102 &amp; "円"</f>
        <v>円</v>
      </c>
      <c r="Q596" s="13"/>
      <c r="R596" s="11"/>
      <c r="S596" s="12" t="str">
        <f>"参考価格"</f>
        <v>参考価格</v>
      </c>
      <c r="Y596" s="12" t="str">
        <f>印刷シート!$I103 &amp; "円"</f>
        <v>円</v>
      </c>
      <c r="AH596" s="13"/>
    </row>
    <row r="597" spans="1:34" ht="14.25" customHeight="1">
      <c r="A597" s="18"/>
      <c r="B597" s="23" t="str">
        <f>IF(LEN(印刷シート!$B102)&gt;=7, Jan(印刷シート!$B102), "")</f>
        <v/>
      </c>
      <c r="C597" s="23"/>
      <c r="D597" s="23"/>
      <c r="E597" s="23"/>
      <c r="F597" s="23"/>
      <c r="G597" s="23"/>
      <c r="H597" s="23"/>
      <c r="I597" s="23"/>
      <c r="J597" s="23"/>
      <c r="K597" s="23"/>
      <c r="L597" s="24" t="str">
        <f>印刷シート!$K102</f>
        <v/>
      </c>
      <c r="M597" s="24"/>
      <c r="N597" s="24"/>
      <c r="Q597" s="13"/>
      <c r="R597" s="18"/>
      <c r="S597" s="23" t="str">
        <f>IF(LEN(印刷シート!$B103)&gt;=7, Jan(印刷シート!$B103), "")</f>
        <v/>
      </c>
      <c r="T597" s="23"/>
      <c r="U597" s="23"/>
      <c r="V597" s="23"/>
      <c r="W597" s="23"/>
      <c r="X597" s="23"/>
      <c r="Y597" s="23"/>
      <c r="Z597" s="23"/>
      <c r="AA597" s="23"/>
      <c r="AB597" s="23"/>
      <c r="AC597" s="24" t="str">
        <f>印刷シート!$K103</f>
        <v/>
      </c>
      <c r="AD597" s="24"/>
      <c r="AE597" s="24"/>
      <c r="AH597" s="13"/>
    </row>
    <row r="598" spans="1:34" ht="14.25" customHeight="1">
      <c r="A598" s="18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4"/>
      <c r="M598" s="24"/>
      <c r="N598" s="24"/>
      <c r="Q598" s="13"/>
      <c r="R598" s="18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4"/>
      <c r="AD598" s="24"/>
      <c r="AE598" s="24"/>
      <c r="AH598" s="13"/>
    </row>
    <row r="599" spans="1:34" ht="14.25" customHeight="1">
      <c r="A599" s="18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4"/>
      <c r="M599" s="24"/>
      <c r="N599" s="24"/>
      <c r="O599" s="12" t="str">
        <f>"円＋税"</f>
        <v>円＋税</v>
      </c>
      <c r="Q599" s="13"/>
      <c r="R599" s="18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4"/>
      <c r="AD599" s="24"/>
      <c r="AE599" s="24"/>
      <c r="AF599" s="12" t="str">
        <f>"円＋税"</f>
        <v>円＋税</v>
      </c>
      <c r="AH599" s="13"/>
    </row>
    <row r="600" spans="1:34" ht="14.25" customHeight="1">
      <c r="A600" s="14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6"/>
      <c r="R600" s="14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  <c r="AG600" s="15"/>
      <c r="AH600" s="16"/>
    </row>
  </sheetData>
  <dataConsolidate/>
  <mergeCells count="400">
    <mergeCell ref="S9:AB11"/>
    <mergeCell ref="AC9:AE11"/>
    <mergeCell ref="B3:P4"/>
    <mergeCell ref="S2:AG2"/>
    <mergeCell ref="S3:AG4"/>
    <mergeCell ref="L9:N11"/>
    <mergeCell ref="B2:P2"/>
    <mergeCell ref="B9:K11"/>
    <mergeCell ref="S21:AB23"/>
    <mergeCell ref="AC21:AE23"/>
    <mergeCell ref="S14:AG14"/>
    <mergeCell ref="S15:AG16"/>
    <mergeCell ref="S26:AG26"/>
    <mergeCell ref="B21:K23"/>
    <mergeCell ref="L21:N23"/>
    <mergeCell ref="B33:K35"/>
    <mergeCell ref="L33:N35"/>
    <mergeCell ref="B14:P14"/>
    <mergeCell ref="B15:P16"/>
    <mergeCell ref="B26:P26"/>
    <mergeCell ref="B27:P28"/>
    <mergeCell ref="S27:AG28"/>
    <mergeCell ref="S33:AB35"/>
    <mergeCell ref="AC33:AE35"/>
    <mergeCell ref="B38:P38"/>
    <mergeCell ref="S38:AG38"/>
    <mergeCell ref="B39:P40"/>
    <mergeCell ref="S39:AG40"/>
    <mergeCell ref="B57:K59"/>
    <mergeCell ref="L57:N59"/>
    <mergeCell ref="S57:AB59"/>
    <mergeCell ref="AC57:AE59"/>
    <mergeCell ref="B50:P50"/>
    <mergeCell ref="S50:AG50"/>
    <mergeCell ref="B45:K47"/>
    <mergeCell ref="L45:N47"/>
    <mergeCell ref="S45:AB47"/>
    <mergeCell ref="AC45:AE47"/>
    <mergeCell ref="B69:K71"/>
    <mergeCell ref="L69:N71"/>
    <mergeCell ref="S69:AB71"/>
    <mergeCell ref="AC69:AE71"/>
    <mergeCell ref="B74:P74"/>
    <mergeCell ref="S74:AG74"/>
    <mergeCell ref="B51:P52"/>
    <mergeCell ref="S51:AG52"/>
    <mergeCell ref="B62:P62"/>
    <mergeCell ref="S62:AG62"/>
    <mergeCell ref="B63:P64"/>
    <mergeCell ref="S63:AG64"/>
    <mergeCell ref="B86:P86"/>
    <mergeCell ref="S86:AG86"/>
    <mergeCell ref="B87:P88"/>
    <mergeCell ref="S87:AG88"/>
    <mergeCell ref="B93:K95"/>
    <mergeCell ref="L93:N95"/>
    <mergeCell ref="S93:AB95"/>
    <mergeCell ref="AC93:AE95"/>
    <mergeCell ref="B75:P76"/>
    <mergeCell ref="S75:AG76"/>
    <mergeCell ref="B81:K83"/>
    <mergeCell ref="L81:N83"/>
    <mergeCell ref="S81:AB83"/>
    <mergeCell ref="AC81:AE83"/>
    <mergeCell ref="B110:P110"/>
    <mergeCell ref="S110:AG110"/>
    <mergeCell ref="B111:P112"/>
    <mergeCell ref="S111:AG112"/>
    <mergeCell ref="B117:K119"/>
    <mergeCell ref="L117:N119"/>
    <mergeCell ref="S117:AB119"/>
    <mergeCell ref="AC117:AE119"/>
    <mergeCell ref="B98:P98"/>
    <mergeCell ref="S98:AG98"/>
    <mergeCell ref="B99:P100"/>
    <mergeCell ref="S99:AG100"/>
    <mergeCell ref="B105:K107"/>
    <mergeCell ref="L105:N107"/>
    <mergeCell ref="S105:AB107"/>
    <mergeCell ref="AC105:AE107"/>
    <mergeCell ref="B134:P134"/>
    <mergeCell ref="S134:AG134"/>
    <mergeCell ref="B135:P136"/>
    <mergeCell ref="S135:AG136"/>
    <mergeCell ref="B141:K143"/>
    <mergeCell ref="L141:N143"/>
    <mergeCell ref="S141:AB143"/>
    <mergeCell ref="AC141:AE143"/>
    <mergeCell ref="B122:P122"/>
    <mergeCell ref="S122:AG122"/>
    <mergeCell ref="B123:P124"/>
    <mergeCell ref="S123:AG124"/>
    <mergeCell ref="B129:K131"/>
    <mergeCell ref="L129:N131"/>
    <mergeCell ref="S129:AB131"/>
    <mergeCell ref="AC129:AE131"/>
    <mergeCell ref="B158:P158"/>
    <mergeCell ref="S158:AG158"/>
    <mergeCell ref="B159:P160"/>
    <mergeCell ref="S159:AG160"/>
    <mergeCell ref="B165:K167"/>
    <mergeCell ref="L165:N167"/>
    <mergeCell ref="S165:AB167"/>
    <mergeCell ref="AC165:AE167"/>
    <mergeCell ref="B146:P146"/>
    <mergeCell ref="S146:AG146"/>
    <mergeCell ref="B147:P148"/>
    <mergeCell ref="S147:AG148"/>
    <mergeCell ref="B153:K155"/>
    <mergeCell ref="L153:N155"/>
    <mergeCell ref="S153:AB155"/>
    <mergeCell ref="AC153:AE155"/>
    <mergeCell ref="B182:P182"/>
    <mergeCell ref="S182:AG182"/>
    <mergeCell ref="B183:P184"/>
    <mergeCell ref="S183:AG184"/>
    <mergeCell ref="B189:K191"/>
    <mergeCell ref="L189:N191"/>
    <mergeCell ref="S189:AB191"/>
    <mergeCell ref="AC189:AE191"/>
    <mergeCell ref="B170:P170"/>
    <mergeCell ref="S170:AG170"/>
    <mergeCell ref="B171:P172"/>
    <mergeCell ref="S171:AG172"/>
    <mergeCell ref="B177:K179"/>
    <mergeCell ref="L177:N179"/>
    <mergeCell ref="S177:AB179"/>
    <mergeCell ref="AC177:AE179"/>
    <mergeCell ref="B206:P206"/>
    <mergeCell ref="S206:AG206"/>
    <mergeCell ref="B207:P208"/>
    <mergeCell ref="S207:AG208"/>
    <mergeCell ref="B213:K215"/>
    <mergeCell ref="L213:N215"/>
    <mergeCell ref="S213:AB215"/>
    <mergeCell ref="AC213:AE215"/>
    <mergeCell ref="B194:P194"/>
    <mergeCell ref="S194:AG194"/>
    <mergeCell ref="B195:P196"/>
    <mergeCell ref="S195:AG196"/>
    <mergeCell ref="B201:K203"/>
    <mergeCell ref="L201:N203"/>
    <mergeCell ref="S201:AB203"/>
    <mergeCell ref="AC201:AE203"/>
    <mergeCell ref="B230:P230"/>
    <mergeCell ref="S230:AG230"/>
    <mergeCell ref="B231:P232"/>
    <mergeCell ref="S231:AG232"/>
    <mergeCell ref="B237:K239"/>
    <mergeCell ref="L237:N239"/>
    <mergeCell ref="S237:AB239"/>
    <mergeCell ref="AC237:AE239"/>
    <mergeCell ref="B218:P218"/>
    <mergeCell ref="S218:AG218"/>
    <mergeCell ref="B219:P220"/>
    <mergeCell ref="S219:AG220"/>
    <mergeCell ref="B225:K227"/>
    <mergeCell ref="L225:N227"/>
    <mergeCell ref="S225:AB227"/>
    <mergeCell ref="AC225:AE227"/>
    <mergeCell ref="B254:P254"/>
    <mergeCell ref="S254:AG254"/>
    <mergeCell ref="B255:P256"/>
    <mergeCell ref="S255:AG256"/>
    <mergeCell ref="B261:K263"/>
    <mergeCell ref="L261:N263"/>
    <mergeCell ref="S261:AB263"/>
    <mergeCell ref="AC261:AE263"/>
    <mergeCell ref="B242:P242"/>
    <mergeCell ref="S242:AG242"/>
    <mergeCell ref="B243:P244"/>
    <mergeCell ref="S243:AG244"/>
    <mergeCell ref="B249:K251"/>
    <mergeCell ref="L249:N251"/>
    <mergeCell ref="S249:AB251"/>
    <mergeCell ref="AC249:AE251"/>
    <mergeCell ref="B278:P278"/>
    <mergeCell ref="S278:AG278"/>
    <mergeCell ref="B279:P280"/>
    <mergeCell ref="S279:AG280"/>
    <mergeCell ref="B285:K287"/>
    <mergeCell ref="L285:N287"/>
    <mergeCell ref="S285:AB287"/>
    <mergeCell ref="AC285:AE287"/>
    <mergeCell ref="B266:P266"/>
    <mergeCell ref="S266:AG266"/>
    <mergeCell ref="B267:P268"/>
    <mergeCell ref="S267:AG268"/>
    <mergeCell ref="B273:K275"/>
    <mergeCell ref="L273:N275"/>
    <mergeCell ref="S273:AB275"/>
    <mergeCell ref="AC273:AE275"/>
    <mergeCell ref="B302:P302"/>
    <mergeCell ref="S302:AG302"/>
    <mergeCell ref="B303:P304"/>
    <mergeCell ref="S303:AG304"/>
    <mergeCell ref="B309:K311"/>
    <mergeCell ref="L309:N311"/>
    <mergeCell ref="S309:AB311"/>
    <mergeCell ref="AC309:AE311"/>
    <mergeCell ref="B290:P290"/>
    <mergeCell ref="S290:AG290"/>
    <mergeCell ref="B291:P292"/>
    <mergeCell ref="S291:AG292"/>
    <mergeCell ref="B297:K299"/>
    <mergeCell ref="L297:N299"/>
    <mergeCell ref="S297:AB299"/>
    <mergeCell ref="AC297:AE299"/>
    <mergeCell ref="B326:P326"/>
    <mergeCell ref="S326:AG326"/>
    <mergeCell ref="B327:P328"/>
    <mergeCell ref="S327:AG328"/>
    <mergeCell ref="B333:K335"/>
    <mergeCell ref="L333:N335"/>
    <mergeCell ref="S333:AB335"/>
    <mergeCell ref="AC333:AE335"/>
    <mergeCell ref="B314:P314"/>
    <mergeCell ref="S314:AG314"/>
    <mergeCell ref="B315:P316"/>
    <mergeCell ref="S315:AG316"/>
    <mergeCell ref="B321:K323"/>
    <mergeCell ref="L321:N323"/>
    <mergeCell ref="S321:AB323"/>
    <mergeCell ref="AC321:AE323"/>
    <mergeCell ref="B350:P350"/>
    <mergeCell ref="S350:AG350"/>
    <mergeCell ref="B351:P352"/>
    <mergeCell ref="S351:AG352"/>
    <mergeCell ref="B357:K359"/>
    <mergeCell ref="L357:N359"/>
    <mergeCell ref="S357:AB359"/>
    <mergeCell ref="AC357:AE359"/>
    <mergeCell ref="B338:P338"/>
    <mergeCell ref="S338:AG338"/>
    <mergeCell ref="B339:P340"/>
    <mergeCell ref="S339:AG340"/>
    <mergeCell ref="B345:K347"/>
    <mergeCell ref="L345:N347"/>
    <mergeCell ref="S345:AB347"/>
    <mergeCell ref="AC345:AE347"/>
    <mergeCell ref="B374:P374"/>
    <mergeCell ref="S374:AG374"/>
    <mergeCell ref="B375:P376"/>
    <mergeCell ref="S375:AG376"/>
    <mergeCell ref="B381:K383"/>
    <mergeCell ref="L381:N383"/>
    <mergeCell ref="S381:AB383"/>
    <mergeCell ref="AC381:AE383"/>
    <mergeCell ref="B362:P362"/>
    <mergeCell ref="S362:AG362"/>
    <mergeCell ref="B363:P364"/>
    <mergeCell ref="S363:AG364"/>
    <mergeCell ref="B369:K371"/>
    <mergeCell ref="L369:N371"/>
    <mergeCell ref="S369:AB371"/>
    <mergeCell ref="AC369:AE371"/>
    <mergeCell ref="B398:P398"/>
    <mergeCell ref="S398:AG398"/>
    <mergeCell ref="B399:P400"/>
    <mergeCell ref="S399:AG400"/>
    <mergeCell ref="B405:K407"/>
    <mergeCell ref="L405:N407"/>
    <mergeCell ref="S405:AB407"/>
    <mergeCell ref="AC405:AE407"/>
    <mergeCell ref="B386:P386"/>
    <mergeCell ref="S386:AG386"/>
    <mergeCell ref="B387:P388"/>
    <mergeCell ref="S387:AG388"/>
    <mergeCell ref="B393:K395"/>
    <mergeCell ref="L393:N395"/>
    <mergeCell ref="S393:AB395"/>
    <mergeCell ref="AC393:AE395"/>
    <mergeCell ref="B422:P422"/>
    <mergeCell ref="S422:AG422"/>
    <mergeCell ref="B423:P424"/>
    <mergeCell ref="S423:AG424"/>
    <mergeCell ref="B429:K431"/>
    <mergeCell ref="L429:N431"/>
    <mergeCell ref="S429:AB431"/>
    <mergeCell ref="AC429:AE431"/>
    <mergeCell ref="B410:P410"/>
    <mergeCell ref="S410:AG410"/>
    <mergeCell ref="B411:P412"/>
    <mergeCell ref="S411:AG412"/>
    <mergeCell ref="B417:K419"/>
    <mergeCell ref="L417:N419"/>
    <mergeCell ref="S417:AB419"/>
    <mergeCell ref="AC417:AE419"/>
    <mergeCell ref="B446:P446"/>
    <mergeCell ref="S446:AG446"/>
    <mergeCell ref="B447:P448"/>
    <mergeCell ref="S447:AG448"/>
    <mergeCell ref="B453:K455"/>
    <mergeCell ref="L453:N455"/>
    <mergeCell ref="S453:AB455"/>
    <mergeCell ref="AC453:AE455"/>
    <mergeCell ref="B434:P434"/>
    <mergeCell ref="S434:AG434"/>
    <mergeCell ref="B435:P436"/>
    <mergeCell ref="S435:AG436"/>
    <mergeCell ref="B441:K443"/>
    <mergeCell ref="L441:N443"/>
    <mergeCell ref="S441:AB443"/>
    <mergeCell ref="AC441:AE443"/>
    <mergeCell ref="B470:P470"/>
    <mergeCell ref="S470:AG470"/>
    <mergeCell ref="B471:P472"/>
    <mergeCell ref="S471:AG472"/>
    <mergeCell ref="B477:K479"/>
    <mergeCell ref="L477:N479"/>
    <mergeCell ref="S477:AB479"/>
    <mergeCell ref="AC477:AE479"/>
    <mergeCell ref="B458:P458"/>
    <mergeCell ref="S458:AG458"/>
    <mergeCell ref="B459:P460"/>
    <mergeCell ref="S459:AG460"/>
    <mergeCell ref="B465:K467"/>
    <mergeCell ref="L465:N467"/>
    <mergeCell ref="S465:AB467"/>
    <mergeCell ref="AC465:AE467"/>
    <mergeCell ref="B494:P494"/>
    <mergeCell ref="S494:AG494"/>
    <mergeCell ref="B495:P496"/>
    <mergeCell ref="S495:AG496"/>
    <mergeCell ref="B501:K503"/>
    <mergeCell ref="L501:N503"/>
    <mergeCell ref="S501:AB503"/>
    <mergeCell ref="AC501:AE503"/>
    <mergeCell ref="B482:P482"/>
    <mergeCell ref="S482:AG482"/>
    <mergeCell ref="B483:P484"/>
    <mergeCell ref="S483:AG484"/>
    <mergeCell ref="B489:K491"/>
    <mergeCell ref="L489:N491"/>
    <mergeCell ref="S489:AB491"/>
    <mergeCell ref="AC489:AE491"/>
    <mergeCell ref="B518:P518"/>
    <mergeCell ref="S518:AG518"/>
    <mergeCell ref="B519:P520"/>
    <mergeCell ref="S519:AG520"/>
    <mergeCell ref="B525:K527"/>
    <mergeCell ref="L525:N527"/>
    <mergeCell ref="S525:AB527"/>
    <mergeCell ref="AC525:AE527"/>
    <mergeCell ref="B506:P506"/>
    <mergeCell ref="S506:AG506"/>
    <mergeCell ref="B507:P508"/>
    <mergeCell ref="S507:AG508"/>
    <mergeCell ref="B513:K515"/>
    <mergeCell ref="L513:N515"/>
    <mergeCell ref="S513:AB515"/>
    <mergeCell ref="AC513:AE515"/>
    <mergeCell ref="B542:P542"/>
    <mergeCell ref="S542:AG542"/>
    <mergeCell ref="B543:P544"/>
    <mergeCell ref="S543:AG544"/>
    <mergeCell ref="B549:K551"/>
    <mergeCell ref="L549:N551"/>
    <mergeCell ref="S549:AB551"/>
    <mergeCell ref="AC549:AE551"/>
    <mergeCell ref="B530:P530"/>
    <mergeCell ref="S530:AG530"/>
    <mergeCell ref="B531:P532"/>
    <mergeCell ref="S531:AG532"/>
    <mergeCell ref="B537:K539"/>
    <mergeCell ref="L537:N539"/>
    <mergeCell ref="S537:AB539"/>
    <mergeCell ref="AC537:AE539"/>
    <mergeCell ref="B566:P566"/>
    <mergeCell ref="S566:AG566"/>
    <mergeCell ref="B567:P568"/>
    <mergeCell ref="S567:AG568"/>
    <mergeCell ref="B573:K575"/>
    <mergeCell ref="L573:N575"/>
    <mergeCell ref="S573:AB575"/>
    <mergeCell ref="AC573:AE575"/>
    <mergeCell ref="B554:P554"/>
    <mergeCell ref="S554:AG554"/>
    <mergeCell ref="B555:P556"/>
    <mergeCell ref="S555:AG556"/>
    <mergeCell ref="B561:K563"/>
    <mergeCell ref="L561:N563"/>
    <mergeCell ref="S561:AB563"/>
    <mergeCell ref="AC561:AE563"/>
    <mergeCell ref="B590:P590"/>
    <mergeCell ref="S590:AG590"/>
    <mergeCell ref="B591:P592"/>
    <mergeCell ref="S591:AG592"/>
    <mergeCell ref="B597:K599"/>
    <mergeCell ref="L597:N599"/>
    <mergeCell ref="S597:AB599"/>
    <mergeCell ref="AC597:AE599"/>
    <mergeCell ref="B578:P578"/>
    <mergeCell ref="S578:AG578"/>
    <mergeCell ref="B579:P580"/>
    <mergeCell ref="S579:AG580"/>
    <mergeCell ref="B585:K587"/>
    <mergeCell ref="L585:N587"/>
    <mergeCell ref="S585:AB587"/>
    <mergeCell ref="AC585:AE587"/>
  </mergeCells>
  <phoneticPr fontId="1"/>
  <pageMargins left="0.55118110236220474" right="0.55118110236220474" top="0.43307086614173229" bottom="0.43307086614173229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C30"/>
  <sheetViews>
    <sheetView workbookViewId="0"/>
  </sheetViews>
  <sheetFormatPr defaultRowHeight="14.25"/>
  <cols>
    <col min="1" max="1" width="14.25" style="1" bestFit="1" customWidth="1"/>
    <col min="2" max="2" width="9" style="1"/>
    <col min="3" max="3" width="52" style="1" bestFit="1" customWidth="1"/>
    <col min="4" max="16384" width="9" style="1"/>
  </cols>
  <sheetData>
    <row r="2" spans="1:3">
      <c r="A2" s="1" t="s">
        <v>168</v>
      </c>
    </row>
    <row r="4" spans="1:3">
      <c r="A4" s="1" t="s">
        <v>169</v>
      </c>
    </row>
    <row r="5" spans="1:3">
      <c r="A5" s="21" t="s">
        <v>141</v>
      </c>
      <c r="B5" s="21" t="s">
        <v>142</v>
      </c>
      <c r="C5" s="21" t="s">
        <v>178</v>
      </c>
    </row>
    <row r="6" spans="1:3">
      <c r="A6" s="6" t="s">
        <v>170</v>
      </c>
      <c r="B6" s="6" t="s">
        <v>171</v>
      </c>
      <c r="C6" s="6"/>
    </row>
    <row r="7" spans="1:3">
      <c r="A7" s="6" t="s">
        <v>179</v>
      </c>
      <c r="B7" s="6">
        <v>17</v>
      </c>
      <c r="C7" s="6" t="s">
        <v>183</v>
      </c>
    </row>
    <row r="8" spans="1:3">
      <c r="A8" s="6" t="s">
        <v>180</v>
      </c>
      <c r="B8" s="6">
        <v>12</v>
      </c>
      <c r="C8" s="6" t="s">
        <v>184</v>
      </c>
    </row>
    <row r="9" spans="1:3">
      <c r="A9" s="6" t="s">
        <v>181</v>
      </c>
      <c r="B9" s="6">
        <v>2</v>
      </c>
      <c r="C9" s="6" t="s">
        <v>185</v>
      </c>
    </row>
    <row r="10" spans="1:3">
      <c r="A10" s="6" t="s">
        <v>182</v>
      </c>
      <c r="B10" s="6">
        <v>50</v>
      </c>
      <c r="C10" s="6" t="s">
        <v>186</v>
      </c>
    </row>
    <row r="12" spans="1:3">
      <c r="A12" s="1" t="s">
        <v>172</v>
      </c>
    </row>
    <row r="13" spans="1:3">
      <c r="A13" s="21" t="s">
        <v>173</v>
      </c>
      <c r="B13" s="21" t="s">
        <v>137</v>
      </c>
      <c r="C13" s="21" t="s">
        <v>145</v>
      </c>
    </row>
    <row r="14" spans="1:3">
      <c r="A14" s="6" t="s">
        <v>138</v>
      </c>
      <c r="B14" s="6" t="s">
        <v>144</v>
      </c>
      <c r="C14" s="5" t="s">
        <v>146</v>
      </c>
    </row>
    <row r="15" spans="1:3">
      <c r="A15" s="6" t="s">
        <v>140</v>
      </c>
      <c r="B15" s="6" t="s">
        <v>147</v>
      </c>
      <c r="C15" s="5" t="s">
        <v>148</v>
      </c>
    </row>
    <row r="16" spans="1:3">
      <c r="A16" s="6" t="s">
        <v>139</v>
      </c>
      <c r="B16" s="6" t="s">
        <v>149</v>
      </c>
      <c r="C16" s="5" t="s">
        <v>150</v>
      </c>
    </row>
    <row r="17" spans="1:3">
      <c r="A17" s="6" t="s">
        <v>151</v>
      </c>
      <c r="B17" s="6" t="s">
        <v>152</v>
      </c>
      <c r="C17" s="5" t="s">
        <v>153</v>
      </c>
    </row>
    <row r="18" spans="1:3">
      <c r="A18" s="6" t="s">
        <v>155</v>
      </c>
      <c r="B18" s="6" t="s">
        <v>154</v>
      </c>
      <c r="C18" s="5" t="s">
        <v>156</v>
      </c>
    </row>
    <row r="19" spans="1:3">
      <c r="A19" s="6" t="s">
        <v>157</v>
      </c>
      <c r="B19" s="6" t="s">
        <v>159</v>
      </c>
      <c r="C19" s="5" t="s">
        <v>162</v>
      </c>
    </row>
    <row r="20" spans="1:3">
      <c r="A20" s="6" t="s">
        <v>158</v>
      </c>
      <c r="B20" s="6" t="s">
        <v>160</v>
      </c>
      <c r="C20" s="5" t="s">
        <v>163</v>
      </c>
    </row>
    <row r="21" spans="1:3">
      <c r="A21" s="6" t="s">
        <v>161</v>
      </c>
      <c r="B21" s="6" t="s">
        <v>174</v>
      </c>
      <c r="C21" s="5" t="s">
        <v>164</v>
      </c>
    </row>
    <row r="22" spans="1:3">
      <c r="A22" s="6" t="s">
        <v>165</v>
      </c>
      <c r="B22" s="6" t="s">
        <v>166</v>
      </c>
      <c r="C22" s="5" t="s">
        <v>167</v>
      </c>
    </row>
    <row r="23" spans="1:3">
      <c r="A23" s="6" t="s">
        <v>175</v>
      </c>
      <c r="B23" s="6" t="s">
        <v>176</v>
      </c>
      <c r="C23" s="5" t="s">
        <v>177</v>
      </c>
    </row>
    <row r="24" spans="1:3">
      <c r="A24" s="6"/>
      <c r="B24" s="6"/>
      <c r="C24" s="5"/>
    </row>
    <row r="25" spans="1:3">
      <c r="A25" s="6"/>
      <c r="B25" s="6"/>
      <c r="C25" s="5"/>
    </row>
    <row r="26" spans="1:3">
      <c r="A26" s="6"/>
      <c r="B26" s="6"/>
      <c r="C26" s="5"/>
    </row>
    <row r="27" spans="1:3">
      <c r="A27" s="6"/>
      <c r="B27" s="6"/>
      <c r="C27" s="5"/>
    </row>
    <row r="28" spans="1:3">
      <c r="A28" s="6"/>
      <c r="B28" s="6"/>
      <c r="C28" s="5"/>
    </row>
    <row r="29" spans="1:3">
      <c r="A29" s="6"/>
      <c r="B29" s="6"/>
      <c r="C29" s="5"/>
    </row>
    <row r="30" spans="1:3">
      <c r="A30" s="6"/>
      <c r="B30" s="6"/>
      <c r="C30" s="5"/>
    </row>
  </sheetData>
  <phoneticPr fontId="1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設計</vt:lpstr>
      <vt:lpstr>商品台帳</vt:lpstr>
      <vt:lpstr>印刷シート</vt:lpstr>
      <vt:lpstr>POP</vt:lpstr>
      <vt:lpstr>POP作成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渥美政廣</cp:lastModifiedBy>
  <dcterms:created xsi:type="dcterms:W3CDTF">2006-09-13T11:12:02Z</dcterms:created>
  <dcterms:modified xsi:type="dcterms:W3CDTF">2018-07-13T15:35:45Z</dcterms:modified>
</cp:coreProperties>
</file>